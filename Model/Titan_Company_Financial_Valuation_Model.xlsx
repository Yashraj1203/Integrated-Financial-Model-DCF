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r\Desktop\Study\Projects\Finance &amp; Banking Analyst\3-Statement Modelling &amp; Forecasting\"/>
    </mc:Choice>
  </mc:AlternateContent>
  <xr:revisionPtr revIDLastSave="0" documentId="13_ncr:1_{6D323CE3-ACB2-4D7D-A6C3-5DAD6D3025EF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Cover" sheetId="1" r:id="rId1"/>
    <sheet name="Summary" sheetId="2" r:id="rId2"/>
    <sheet name="Inputs" sheetId="3" r:id="rId3"/>
    <sheet name="IS" sheetId="4" r:id="rId4"/>
    <sheet name="BS" sheetId="5" r:id="rId5"/>
    <sheet name="CF" sheetId="6" r:id="rId6"/>
    <sheet name="Schedules" sheetId="7" r:id="rId7"/>
    <sheet name="Earnings_Quality" sheetId="8" r:id="rId8"/>
    <sheet name="DCF" sheetId="9" r:id="rId9"/>
    <sheet name="Sensitivity" sheetId="10" r:id="rId10"/>
    <sheet name="Scenarios" sheetId="11" r:id="rId11"/>
    <sheet name="Checks" sheetId="12" r:id="rId12"/>
    <sheet name="PowerBI_Export" sheetId="13" r:id="rId13"/>
    <sheet name="Hist_Data" sheetId="14" r:id="rId14"/>
    <sheet name="Notes" sheetId="15" r:id="rId15"/>
  </sheets>
  <calcPr calcId="191029"/>
</workbook>
</file>

<file path=xl/calcChain.xml><?xml version="1.0" encoding="utf-8"?>
<calcChain xmlns="http://schemas.openxmlformats.org/spreadsheetml/2006/main">
  <c r="R8" i="13" l="1"/>
  <c r="C25" i="12"/>
  <c r="M25" i="12" s="1"/>
  <c r="C24" i="12"/>
  <c r="M24" i="12" s="1"/>
  <c r="C26" i="10"/>
  <c r="C20" i="10"/>
  <c r="C63" i="9"/>
  <c r="C61" i="9"/>
  <c r="C59" i="9"/>
  <c r="C58" i="9"/>
  <c r="C56" i="9"/>
  <c r="C46" i="9"/>
  <c r="C45" i="9"/>
  <c r="L35" i="9"/>
  <c r="K35" i="9"/>
  <c r="J35" i="9"/>
  <c r="I35" i="9"/>
  <c r="H35" i="9"/>
  <c r="L30" i="9"/>
  <c r="K30" i="9"/>
  <c r="J30" i="9"/>
  <c r="I30" i="9"/>
  <c r="H30" i="9"/>
  <c r="C13" i="9"/>
  <c r="C14" i="9" s="1"/>
  <c r="C11" i="9"/>
  <c r="C10" i="9"/>
  <c r="C12" i="9" s="1"/>
  <c r="C8" i="9"/>
  <c r="C7" i="9"/>
  <c r="C6" i="9"/>
  <c r="C9" i="9" s="1"/>
  <c r="L16" i="8"/>
  <c r="D95" i="7"/>
  <c r="F90" i="7"/>
  <c r="D89" i="7"/>
  <c r="L86" i="7"/>
  <c r="K86" i="7"/>
  <c r="J86" i="7"/>
  <c r="I86" i="7"/>
  <c r="H86" i="7"/>
  <c r="G83" i="7"/>
  <c r="L81" i="7"/>
  <c r="K81" i="7"/>
  <c r="J81" i="7"/>
  <c r="I81" i="7"/>
  <c r="H81" i="7"/>
  <c r="G80" i="7"/>
  <c r="D80" i="7"/>
  <c r="L79" i="7"/>
  <c r="K79" i="7"/>
  <c r="J79" i="7"/>
  <c r="I79" i="7"/>
  <c r="H79" i="7"/>
  <c r="G74" i="7"/>
  <c r="F74" i="7"/>
  <c r="G73" i="7"/>
  <c r="F73" i="7"/>
  <c r="L72" i="7"/>
  <c r="K72" i="7"/>
  <c r="J72" i="7"/>
  <c r="I72" i="7"/>
  <c r="H72" i="7"/>
  <c r="J71" i="7"/>
  <c r="I71" i="7"/>
  <c r="E70" i="7"/>
  <c r="D70" i="7"/>
  <c r="E65" i="7" s="1"/>
  <c r="E87" i="3" s="1"/>
  <c r="C70" i="7"/>
  <c r="E69" i="7"/>
  <c r="C69" i="7"/>
  <c r="G68" i="7"/>
  <c r="F68" i="7"/>
  <c r="L65" i="7"/>
  <c r="K65" i="7"/>
  <c r="J65" i="7"/>
  <c r="I65" i="7"/>
  <c r="H65" i="7"/>
  <c r="L64" i="7"/>
  <c r="K64" i="7"/>
  <c r="J64" i="7"/>
  <c r="I64" i="7"/>
  <c r="H64" i="7"/>
  <c r="G62" i="7"/>
  <c r="H60" i="7" s="1"/>
  <c r="F62" i="7"/>
  <c r="E62" i="7"/>
  <c r="D62" i="7"/>
  <c r="D63" i="7" s="1"/>
  <c r="D26" i="8" s="1"/>
  <c r="C62" i="7"/>
  <c r="C63" i="7" s="1"/>
  <c r="C26" i="8" s="1"/>
  <c r="L57" i="7"/>
  <c r="K57" i="7"/>
  <c r="J57" i="7"/>
  <c r="I57" i="7"/>
  <c r="H57" i="7"/>
  <c r="G56" i="7"/>
  <c r="G63" i="7" s="1"/>
  <c r="F56" i="7"/>
  <c r="F63" i="7" s="1"/>
  <c r="E56" i="7"/>
  <c r="E63" i="7" s="1"/>
  <c r="D56" i="7"/>
  <c r="C56" i="7"/>
  <c r="H55" i="7"/>
  <c r="H54" i="7"/>
  <c r="H56" i="7" s="1"/>
  <c r="I54" i="7" s="1"/>
  <c r="E51" i="7"/>
  <c r="D51" i="7"/>
  <c r="G49" i="7"/>
  <c r="F49" i="7"/>
  <c r="L46" i="7"/>
  <c r="K46" i="7"/>
  <c r="J46" i="7"/>
  <c r="I46" i="7"/>
  <c r="H46" i="7"/>
  <c r="F45" i="7"/>
  <c r="G44" i="7"/>
  <c r="F44" i="7"/>
  <c r="L41" i="7"/>
  <c r="K41" i="7"/>
  <c r="J41" i="7"/>
  <c r="I41" i="7"/>
  <c r="H41" i="7"/>
  <c r="F41" i="7"/>
  <c r="L40" i="7"/>
  <c r="K40" i="7"/>
  <c r="J40" i="7"/>
  <c r="I40" i="7"/>
  <c r="H40" i="7"/>
  <c r="E39" i="7"/>
  <c r="D39" i="7"/>
  <c r="C39" i="7"/>
  <c r="G38" i="7"/>
  <c r="F38" i="7"/>
  <c r="L35" i="7"/>
  <c r="K35" i="7"/>
  <c r="J35" i="7"/>
  <c r="I35" i="7"/>
  <c r="H35" i="7"/>
  <c r="E32" i="7"/>
  <c r="E36" i="8" s="1"/>
  <c r="D32" i="7"/>
  <c r="D36" i="8" s="1"/>
  <c r="C32" i="7"/>
  <c r="C36" i="8" s="1"/>
  <c r="L31" i="7"/>
  <c r="K31" i="7"/>
  <c r="J31" i="7"/>
  <c r="I31" i="7"/>
  <c r="H31" i="7"/>
  <c r="F22" i="7"/>
  <c r="E22" i="7"/>
  <c r="E61" i="3" s="1"/>
  <c r="C21" i="7"/>
  <c r="L20" i="7"/>
  <c r="K20" i="7"/>
  <c r="J20" i="7"/>
  <c r="I20" i="7"/>
  <c r="H20" i="7"/>
  <c r="G19" i="7"/>
  <c r="F19" i="7"/>
  <c r="L18" i="7"/>
  <c r="K18" i="7"/>
  <c r="J18" i="7"/>
  <c r="I18" i="7"/>
  <c r="H18" i="7"/>
  <c r="G17" i="7"/>
  <c r="L16" i="7"/>
  <c r="K16" i="7"/>
  <c r="J16" i="7"/>
  <c r="I16" i="7"/>
  <c r="H16" i="7"/>
  <c r="L14" i="7"/>
  <c r="K14" i="7"/>
  <c r="J14" i="7"/>
  <c r="I14" i="7"/>
  <c r="H14" i="7"/>
  <c r="G13" i="7"/>
  <c r="G10" i="7" s="1"/>
  <c r="G16" i="8" s="1"/>
  <c r="F13" i="7"/>
  <c r="E13" i="7"/>
  <c r="E10" i="7" s="1"/>
  <c r="G11" i="7"/>
  <c r="F11" i="7"/>
  <c r="D10" i="7"/>
  <c r="D16" i="8" s="1"/>
  <c r="C10" i="7"/>
  <c r="C16" i="8" s="1"/>
  <c r="L9" i="7"/>
  <c r="L15" i="8" s="1"/>
  <c r="K9" i="7"/>
  <c r="K15" i="8" s="1"/>
  <c r="J9" i="7"/>
  <c r="J15" i="8" s="1"/>
  <c r="I9" i="7"/>
  <c r="I15" i="8" s="1"/>
  <c r="H9" i="7"/>
  <c r="H15" i="8" s="1"/>
  <c r="E7" i="7"/>
  <c r="G32" i="6"/>
  <c r="F32" i="6"/>
  <c r="E32" i="6"/>
  <c r="D32" i="6"/>
  <c r="C32" i="6"/>
  <c r="G27" i="6"/>
  <c r="F27" i="6"/>
  <c r="E27" i="6"/>
  <c r="D27" i="6"/>
  <c r="C27" i="6"/>
  <c r="G26" i="6"/>
  <c r="F26" i="6"/>
  <c r="F69" i="7" s="1"/>
  <c r="E26" i="6"/>
  <c r="D26" i="6"/>
  <c r="C26" i="6"/>
  <c r="G25" i="6"/>
  <c r="F25" i="6"/>
  <c r="E25" i="6"/>
  <c r="D25" i="6"/>
  <c r="C25" i="6"/>
  <c r="C89" i="7" s="1"/>
  <c r="G24" i="6"/>
  <c r="F24" i="6"/>
  <c r="E24" i="6"/>
  <c r="D24" i="6"/>
  <c r="C24" i="6"/>
  <c r="C28" i="6" s="1"/>
  <c r="H23" i="6"/>
  <c r="G23" i="6"/>
  <c r="G28" i="6" s="1"/>
  <c r="F23" i="6"/>
  <c r="E23" i="6"/>
  <c r="D23" i="6"/>
  <c r="C23" i="6"/>
  <c r="E21" i="6"/>
  <c r="C21" i="6"/>
  <c r="E20" i="6"/>
  <c r="D20" i="6"/>
  <c r="D21" i="6" s="1"/>
  <c r="C20" i="6"/>
  <c r="G19" i="6"/>
  <c r="F19" i="6"/>
  <c r="F20" i="6" s="1"/>
  <c r="F21" i="6" s="1"/>
  <c r="E19" i="6"/>
  <c r="M7" i="13" s="1"/>
  <c r="D19" i="6"/>
  <c r="M6" i="13" s="1"/>
  <c r="C19" i="6"/>
  <c r="M5" i="13" s="1"/>
  <c r="G16" i="6"/>
  <c r="F16" i="6"/>
  <c r="E16" i="6"/>
  <c r="D16" i="6"/>
  <c r="C16" i="6"/>
  <c r="G15" i="6"/>
  <c r="F15" i="6"/>
  <c r="E15" i="6"/>
  <c r="D15" i="6"/>
  <c r="C15" i="6"/>
  <c r="G14" i="6"/>
  <c r="F14" i="6"/>
  <c r="E14" i="6"/>
  <c r="D14" i="6"/>
  <c r="C14" i="6"/>
  <c r="G13" i="6"/>
  <c r="F13" i="6"/>
  <c r="E13" i="6"/>
  <c r="D13" i="6"/>
  <c r="C13" i="6"/>
  <c r="G12" i="6"/>
  <c r="F12" i="6"/>
  <c r="E12" i="6"/>
  <c r="D12" i="6"/>
  <c r="C12" i="6"/>
  <c r="G11" i="6"/>
  <c r="F11" i="6"/>
  <c r="E11" i="6"/>
  <c r="D11" i="6"/>
  <c r="C11" i="6"/>
  <c r="G10" i="6"/>
  <c r="F10" i="6"/>
  <c r="E10" i="6"/>
  <c r="D10" i="6"/>
  <c r="C10" i="6"/>
  <c r="G6" i="6"/>
  <c r="F6" i="6"/>
  <c r="H32" i="5"/>
  <c r="I32" i="5" s="1"/>
  <c r="J32" i="5" s="1"/>
  <c r="K32" i="5" s="1"/>
  <c r="L32" i="5" s="1"/>
  <c r="G32" i="5"/>
  <c r="F32" i="5"/>
  <c r="E32" i="5"/>
  <c r="D32" i="5"/>
  <c r="C32" i="5"/>
  <c r="G31" i="5"/>
  <c r="F31" i="5"/>
  <c r="E31" i="5"/>
  <c r="D31" i="5"/>
  <c r="C31" i="5"/>
  <c r="G30" i="5"/>
  <c r="F30" i="5"/>
  <c r="F17" i="7" s="1"/>
  <c r="E30" i="5"/>
  <c r="E17" i="7" s="1"/>
  <c r="D30" i="5"/>
  <c r="D17" i="7" s="1"/>
  <c r="C30" i="5"/>
  <c r="G29" i="5"/>
  <c r="F29" i="5"/>
  <c r="E29" i="5"/>
  <c r="D29" i="5"/>
  <c r="C29" i="5"/>
  <c r="C19" i="7" s="1"/>
  <c r="G28" i="5"/>
  <c r="F28" i="5"/>
  <c r="E28" i="5"/>
  <c r="D28" i="5"/>
  <c r="D13" i="7" s="1"/>
  <c r="C28" i="5"/>
  <c r="C13" i="7" s="1"/>
  <c r="G27" i="5"/>
  <c r="G70" i="7" s="1"/>
  <c r="F27" i="5"/>
  <c r="E27" i="5"/>
  <c r="S7" i="13" s="1"/>
  <c r="D27" i="5"/>
  <c r="S6" i="13" s="1"/>
  <c r="C27" i="5"/>
  <c r="S5" i="13" s="1"/>
  <c r="G26" i="5"/>
  <c r="F26" i="5"/>
  <c r="F23" i="7" s="1"/>
  <c r="G72" i="7" s="1"/>
  <c r="G89" i="3" s="1"/>
  <c r="E26" i="5"/>
  <c r="R7" i="13" s="1"/>
  <c r="D26" i="5"/>
  <c r="R6" i="13" s="1"/>
  <c r="C26" i="5"/>
  <c r="G25" i="5"/>
  <c r="F25" i="5"/>
  <c r="E25" i="5"/>
  <c r="E95" i="7" s="1"/>
  <c r="D25" i="5"/>
  <c r="Q6" i="13" s="1"/>
  <c r="C25" i="5"/>
  <c r="C33" i="5" s="1"/>
  <c r="C10" i="12" s="1"/>
  <c r="G24" i="5"/>
  <c r="F24" i="5"/>
  <c r="G23" i="5"/>
  <c r="G90" i="7" s="1"/>
  <c r="H87" i="7" s="1"/>
  <c r="F23" i="5"/>
  <c r="E23" i="5"/>
  <c r="E24" i="5" s="1"/>
  <c r="D23" i="5"/>
  <c r="D24" i="5" s="1"/>
  <c r="C23" i="5"/>
  <c r="C90" i="7" s="1"/>
  <c r="H22" i="5"/>
  <c r="I22" i="5" s="1"/>
  <c r="G22" i="5"/>
  <c r="F22" i="5"/>
  <c r="E22" i="5"/>
  <c r="D22" i="5"/>
  <c r="C22" i="5"/>
  <c r="C24" i="5" s="1"/>
  <c r="C34" i="5" s="1"/>
  <c r="G17" i="5"/>
  <c r="F17" i="5"/>
  <c r="E17" i="5"/>
  <c r="D17" i="5"/>
  <c r="P6" i="13" s="1"/>
  <c r="C17" i="5"/>
  <c r="P5" i="13" s="1"/>
  <c r="G16" i="5"/>
  <c r="F16" i="5"/>
  <c r="E16" i="5"/>
  <c r="D16" i="5"/>
  <c r="C16" i="5"/>
  <c r="G15" i="5"/>
  <c r="G15" i="7" s="1"/>
  <c r="F15" i="5"/>
  <c r="E15" i="5"/>
  <c r="D15" i="5"/>
  <c r="C15" i="5"/>
  <c r="G14" i="5"/>
  <c r="G12" i="7" s="1"/>
  <c r="F14" i="5"/>
  <c r="F12" i="7" s="1"/>
  <c r="E14" i="5"/>
  <c r="E12" i="7" s="1"/>
  <c r="D14" i="5"/>
  <c r="D12" i="7" s="1"/>
  <c r="C14" i="5"/>
  <c r="C12" i="7" s="1"/>
  <c r="G13" i="5"/>
  <c r="F13" i="5"/>
  <c r="E13" i="5"/>
  <c r="E11" i="7" s="1"/>
  <c r="D13" i="5"/>
  <c r="C13" i="5"/>
  <c r="C11" i="7" s="1"/>
  <c r="C8" i="7" s="1"/>
  <c r="G12" i="5"/>
  <c r="H11" i="5"/>
  <c r="I11" i="5" s="1"/>
  <c r="J11" i="5" s="1"/>
  <c r="K11" i="5" s="1"/>
  <c r="L11" i="5" s="1"/>
  <c r="G11" i="5"/>
  <c r="F11" i="5"/>
  <c r="E11" i="5"/>
  <c r="D11" i="5"/>
  <c r="C11" i="5"/>
  <c r="G10" i="5"/>
  <c r="F10" i="5"/>
  <c r="E10" i="5"/>
  <c r="D10" i="5"/>
  <c r="C10" i="5"/>
  <c r="G9" i="5"/>
  <c r="G50" i="7" s="1"/>
  <c r="H47" i="7" s="1"/>
  <c r="H49" i="7" s="1"/>
  <c r="F9" i="5"/>
  <c r="G46" i="7" s="1"/>
  <c r="E9" i="5"/>
  <c r="D9" i="5"/>
  <c r="D50" i="7" s="1"/>
  <c r="C9" i="5"/>
  <c r="C50" i="7" s="1"/>
  <c r="H8" i="5"/>
  <c r="I8" i="5" s="1"/>
  <c r="J8" i="5" s="1"/>
  <c r="K8" i="5" s="1"/>
  <c r="L8" i="5" s="1"/>
  <c r="G8" i="5"/>
  <c r="F8" i="5"/>
  <c r="E8" i="5"/>
  <c r="D8" i="5"/>
  <c r="C8" i="5"/>
  <c r="G7" i="5"/>
  <c r="G45" i="7" s="1"/>
  <c r="H42" i="7" s="1"/>
  <c r="F7" i="5"/>
  <c r="G41" i="7" s="1"/>
  <c r="G83" i="3" s="1"/>
  <c r="E7" i="5"/>
  <c r="E45" i="7" s="1"/>
  <c r="D7" i="5"/>
  <c r="D45" i="7" s="1"/>
  <c r="C7" i="5"/>
  <c r="C45" i="7" s="1"/>
  <c r="G6" i="5"/>
  <c r="G39" i="7" s="1"/>
  <c r="H36" i="7" s="1"/>
  <c r="F6" i="5"/>
  <c r="E6" i="5"/>
  <c r="D6" i="5"/>
  <c r="C6" i="5"/>
  <c r="L30" i="4"/>
  <c r="K30" i="4"/>
  <c r="J30" i="4"/>
  <c r="I30" i="4"/>
  <c r="H30" i="4"/>
  <c r="G30" i="4"/>
  <c r="F30" i="4"/>
  <c r="E30" i="4"/>
  <c r="D30" i="4"/>
  <c r="C30" i="4"/>
  <c r="G25" i="4"/>
  <c r="F25" i="4"/>
  <c r="E25" i="4"/>
  <c r="D25" i="4"/>
  <c r="C25" i="4"/>
  <c r="G23" i="4"/>
  <c r="F23" i="4"/>
  <c r="E23" i="4"/>
  <c r="D23" i="4"/>
  <c r="C23" i="4"/>
  <c r="G22" i="4"/>
  <c r="F22" i="4"/>
  <c r="E22" i="4"/>
  <c r="D22" i="4"/>
  <c r="C22" i="4"/>
  <c r="G21" i="4"/>
  <c r="G75" i="7" s="1"/>
  <c r="F21" i="4"/>
  <c r="E21" i="4"/>
  <c r="D21" i="4"/>
  <c r="C21" i="4"/>
  <c r="G20" i="4"/>
  <c r="F20" i="4"/>
  <c r="E20" i="4"/>
  <c r="D20" i="4"/>
  <c r="C20" i="4"/>
  <c r="C83" i="7" s="1"/>
  <c r="G16" i="4"/>
  <c r="F16" i="4"/>
  <c r="F37" i="8" s="1"/>
  <c r="E16" i="4"/>
  <c r="E37" i="8" s="1"/>
  <c r="D16" i="4"/>
  <c r="C16" i="4"/>
  <c r="C51" i="7" s="1"/>
  <c r="L13" i="4"/>
  <c r="K13" i="4"/>
  <c r="J13" i="4"/>
  <c r="I13" i="4"/>
  <c r="H13" i="4"/>
  <c r="F13" i="4"/>
  <c r="F41" i="3" s="1"/>
  <c r="G12" i="4"/>
  <c r="G13" i="4" s="1"/>
  <c r="G41" i="3" s="1"/>
  <c r="F12" i="4"/>
  <c r="E12" i="4"/>
  <c r="E13" i="4" s="1"/>
  <c r="E41" i="3" s="1"/>
  <c r="D12" i="4"/>
  <c r="D13" i="4" s="1"/>
  <c r="D41" i="3" s="1"/>
  <c r="C12" i="4"/>
  <c r="C13" i="4" s="1"/>
  <c r="C41" i="3" s="1"/>
  <c r="J11" i="4"/>
  <c r="I11" i="4"/>
  <c r="H11" i="4"/>
  <c r="G11" i="4"/>
  <c r="G36" i="3" s="1"/>
  <c r="E11" i="4"/>
  <c r="E36" i="3" s="1"/>
  <c r="D11" i="4"/>
  <c r="D36" i="3" s="1"/>
  <c r="G10" i="4"/>
  <c r="F10" i="4"/>
  <c r="E10" i="4"/>
  <c r="D10" i="4"/>
  <c r="C10" i="4"/>
  <c r="C11" i="4" s="1"/>
  <c r="C36" i="3" s="1"/>
  <c r="G7" i="4"/>
  <c r="G7" i="7" s="1"/>
  <c r="G8" i="7" s="1"/>
  <c r="F7" i="4"/>
  <c r="F7" i="7" s="1"/>
  <c r="E7" i="4"/>
  <c r="D7" i="4"/>
  <c r="D7" i="7" s="1"/>
  <c r="C7" i="4"/>
  <c r="C7" i="7" s="1"/>
  <c r="G6" i="4"/>
  <c r="G26" i="3" s="1"/>
  <c r="F6" i="4"/>
  <c r="F26" i="3" s="1"/>
  <c r="D6" i="4"/>
  <c r="G5" i="4"/>
  <c r="H5" i="4" s="1"/>
  <c r="H18" i="2" s="1"/>
  <c r="F5" i="4"/>
  <c r="F11" i="4" s="1"/>
  <c r="F36" i="3" s="1"/>
  <c r="E5" i="4"/>
  <c r="D5" i="4"/>
  <c r="E6" i="4" s="1"/>
  <c r="C5" i="4"/>
  <c r="C90" i="3"/>
  <c r="E89" i="3"/>
  <c r="D89" i="3"/>
  <c r="C89" i="3"/>
  <c r="E88" i="3"/>
  <c r="D88" i="3"/>
  <c r="C88" i="3"/>
  <c r="C87" i="3"/>
  <c r="E86" i="3"/>
  <c r="D86" i="3"/>
  <c r="C86" i="3"/>
  <c r="G84" i="3"/>
  <c r="E84" i="3"/>
  <c r="D84" i="3"/>
  <c r="C84" i="3"/>
  <c r="F83" i="3"/>
  <c r="E83" i="3"/>
  <c r="D83" i="3"/>
  <c r="C83" i="3"/>
  <c r="E82" i="3"/>
  <c r="D82" i="3"/>
  <c r="C82" i="3"/>
  <c r="C81" i="3"/>
  <c r="L66" i="3"/>
  <c r="L71" i="7" s="1"/>
  <c r="K66" i="3"/>
  <c r="K71" i="7" s="1"/>
  <c r="J66" i="3"/>
  <c r="I66" i="3"/>
  <c r="H66" i="3"/>
  <c r="H71" i="7" s="1"/>
  <c r="E66" i="3"/>
  <c r="D66" i="3"/>
  <c r="C66" i="3"/>
  <c r="L61" i="3"/>
  <c r="L22" i="7" s="1"/>
  <c r="K61" i="3"/>
  <c r="K22" i="7" s="1"/>
  <c r="J61" i="3"/>
  <c r="J22" i="7" s="1"/>
  <c r="I61" i="3"/>
  <c r="I22" i="7" s="1"/>
  <c r="H61" i="3"/>
  <c r="H22" i="7" s="1"/>
  <c r="F61" i="3"/>
  <c r="L56" i="3"/>
  <c r="L10" i="7" s="1"/>
  <c r="K56" i="3"/>
  <c r="K10" i="7" s="1"/>
  <c r="K16" i="8" s="1"/>
  <c r="J56" i="3"/>
  <c r="J10" i="7" s="1"/>
  <c r="J16" i="8" s="1"/>
  <c r="I56" i="3"/>
  <c r="I10" i="7" s="1"/>
  <c r="I16" i="8" s="1"/>
  <c r="H56" i="3"/>
  <c r="H10" i="7" s="1"/>
  <c r="H16" i="8" s="1"/>
  <c r="D56" i="3"/>
  <c r="L51" i="3"/>
  <c r="L8" i="7" s="1"/>
  <c r="K51" i="3"/>
  <c r="K8" i="7" s="1"/>
  <c r="J51" i="3"/>
  <c r="J8" i="7" s="1"/>
  <c r="I51" i="3"/>
  <c r="I8" i="7" s="1"/>
  <c r="H51" i="3"/>
  <c r="H8" i="7" s="1"/>
  <c r="L46" i="3"/>
  <c r="L30" i="7" s="1"/>
  <c r="K46" i="3"/>
  <c r="K30" i="7" s="1"/>
  <c r="J46" i="3"/>
  <c r="J30" i="7" s="1"/>
  <c r="I46" i="3"/>
  <c r="I30" i="7" s="1"/>
  <c r="H46" i="3"/>
  <c r="H30" i="7" s="1"/>
  <c r="L41" i="3"/>
  <c r="K41" i="3"/>
  <c r="J41" i="3"/>
  <c r="I41" i="3"/>
  <c r="H41" i="3"/>
  <c r="L36" i="3"/>
  <c r="L11" i="4" s="1"/>
  <c r="K36" i="3"/>
  <c r="K11" i="4" s="1"/>
  <c r="J36" i="3"/>
  <c r="I36" i="3"/>
  <c r="H36" i="3"/>
  <c r="L31" i="3"/>
  <c r="L9" i="4" s="1"/>
  <c r="K31" i="3"/>
  <c r="K9" i="4" s="1"/>
  <c r="J31" i="3"/>
  <c r="J9" i="4" s="1"/>
  <c r="I31" i="3"/>
  <c r="I9" i="4" s="1"/>
  <c r="H31" i="3"/>
  <c r="H9" i="4" s="1"/>
  <c r="L26" i="3"/>
  <c r="L6" i="4" s="1"/>
  <c r="K26" i="3"/>
  <c r="K6" i="4" s="1"/>
  <c r="K19" i="2" s="1"/>
  <c r="J26" i="3"/>
  <c r="J6" i="4" s="1"/>
  <c r="J19" i="2" s="1"/>
  <c r="I26" i="3"/>
  <c r="I6" i="4" s="1"/>
  <c r="I19" i="2" s="1"/>
  <c r="H26" i="3"/>
  <c r="H6" i="4" s="1"/>
  <c r="H19" i="2" s="1"/>
  <c r="C26" i="3"/>
  <c r="F22" i="3"/>
  <c r="C67" i="9" s="1"/>
  <c r="D7" i="3"/>
  <c r="C6" i="3"/>
  <c r="A3" i="9" s="1"/>
  <c r="L35" i="2"/>
  <c r="I35" i="2"/>
  <c r="C35" i="2"/>
  <c r="E29" i="2"/>
  <c r="D29" i="2"/>
  <c r="C29" i="2"/>
  <c r="G18" i="2"/>
  <c r="C8" i="2"/>
  <c r="C6" i="2"/>
  <c r="H12" i="13" l="1"/>
  <c r="J20" i="2"/>
  <c r="F28" i="6"/>
  <c r="F29" i="6" s="1"/>
  <c r="J14" i="8"/>
  <c r="J17" i="8" s="1"/>
  <c r="U12" i="13"/>
  <c r="J35" i="2"/>
  <c r="T7" i="13"/>
  <c r="E27" i="8"/>
  <c r="E31" i="2"/>
  <c r="U10" i="13"/>
  <c r="H14" i="8"/>
  <c r="H17" i="8" s="1"/>
  <c r="H35" i="2"/>
  <c r="L36" i="9"/>
  <c r="L38" i="9" s="1"/>
  <c r="K36" i="9"/>
  <c r="K38" i="9" s="1"/>
  <c r="H40" i="10"/>
  <c r="J36" i="9"/>
  <c r="J38" i="9" s="1"/>
  <c r="I36" i="9"/>
  <c r="I38" i="9" s="1"/>
  <c r="H36" i="9"/>
  <c r="H38" i="9" s="1"/>
  <c r="J43" i="10"/>
  <c r="H43" i="10"/>
  <c r="K34" i="10"/>
  <c r="J34" i="10"/>
  <c r="L19" i="2"/>
  <c r="U11" i="13"/>
  <c r="I14" i="8"/>
  <c r="I17" i="8" s="1"/>
  <c r="U13" i="13"/>
  <c r="K14" i="8"/>
  <c r="K17" i="8" s="1"/>
  <c r="K35" i="2"/>
  <c r="C15" i="7"/>
  <c r="C24" i="7" s="1"/>
  <c r="C25" i="7" s="1"/>
  <c r="G14" i="8"/>
  <c r="U9" i="13"/>
  <c r="G35" i="2"/>
  <c r="G51" i="3"/>
  <c r="H13" i="13"/>
  <c r="K20" i="2"/>
  <c r="E26" i="3"/>
  <c r="E19" i="2"/>
  <c r="E34" i="5"/>
  <c r="H14" i="13"/>
  <c r="L20" i="2"/>
  <c r="F83" i="7"/>
  <c r="F81" i="7"/>
  <c r="F90" i="3" s="1"/>
  <c r="D20" i="7"/>
  <c r="D77" i="3" s="1"/>
  <c r="E16" i="8"/>
  <c r="E56" i="3"/>
  <c r="H11" i="13"/>
  <c r="I20" i="2"/>
  <c r="H18" i="9"/>
  <c r="C10" i="13"/>
  <c r="H6" i="7"/>
  <c r="H10" i="4"/>
  <c r="I5" i="4"/>
  <c r="H7" i="4"/>
  <c r="H7" i="7" s="1"/>
  <c r="H12" i="4"/>
  <c r="D26" i="3"/>
  <c r="D19" i="2"/>
  <c r="E89" i="7"/>
  <c r="H10" i="13"/>
  <c r="H20" i="2"/>
  <c r="F34" i="5"/>
  <c r="D19" i="7"/>
  <c r="D33" i="5"/>
  <c r="D10" i="12" s="1"/>
  <c r="M10" i="12" s="1"/>
  <c r="T6" i="13"/>
  <c r="D27" i="8"/>
  <c r="D15" i="7"/>
  <c r="E20" i="7"/>
  <c r="E77" i="3" s="1"/>
  <c r="E21" i="7"/>
  <c r="F89" i="7"/>
  <c r="F10" i="7"/>
  <c r="E26" i="8"/>
  <c r="F71" i="7"/>
  <c r="F66" i="3" s="1"/>
  <c r="F64" i="7"/>
  <c r="F88" i="3" s="1"/>
  <c r="F65" i="7"/>
  <c r="F87" i="3" s="1"/>
  <c r="C7" i="13"/>
  <c r="E6" i="7"/>
  <c r="D37" i="8"/>
  <c r="D38" i="8" s="1"/>
  <c r="D6" i="6"/>
  <c r="P9" i="13"/>
  <c r="H82" i="7"/>
  <c r="H83" i="7" s="1"/>
  <c r="H20" i="4" s="1"/>
  <c r="H8" i="6" s="1"/>
  <c r="C53" i="9"/>
  <c r="C81" i="9" s="1"/>
  <c r="C82" i="9" s="1"/>
  <c r="Q7" i="13"/>
  <c r="E33" i="5"/>
  <c r="E10" i="12" s="1"/>
  <c r="E19" i="7"/>
  <c r="F51" i="7"/>
  <c r="D90" i="7"/>
  <c r="F20" i="7"/>
  <c r="F77" i="3" s="1"/>
  <c r="F21" i="7"/>
  <c r="P8" i="13"/>
  <c r="F57" i="7"/>
  <c r="F79" i="3" s="1"/>
  <c r="G82" i="7"/>
  <c r="G81" i="7" s="1"/>
  <c r="G90" i="3" s="1"/>
  <c r="G21" i="7"/>
  <c r="D31" i="2"/>
  <c r="C12" i="5"/>
  <c r="C55" i="9"/>
  <c r="H10" i="5"/>
  <c r="I10" i="5" s="1"/>
  <c r="J10" i="5" s="1"/>
  <c r="K10" i="5" s="1"/>
  <c r="L10" i="5" s="1"/>
  <c r="Q8" i="13"/>
  <c r="F33" i="5"/>
  <c r="F10" i="12" s="1"/>
  <c r="F95" i="7"/>
  <c r="C17" i="7"/>
  <c r="G7" i="6"/>
  <c r="D69" i="7"/>
  <c r="D65" i="7"/>
  <c r="D87" i="3" s="1"/>
  <c r="E90" i="7"/>
  <c r="C6" i="13"/>
  <c r="D6" i="7"/>
  <c r="D79" i="7" s="1"/>
  <c r="D78" i="3" s="1"/>
  <c r="D12" i="5"/>
  <c r="D19" i="5" s="1"/>
  <c r="H44" i="7"/>
  <c r="C80" i="7"/>
  <c r="Q9" i="13"/>
  <c r="G33" i="5"/>
  <c r="G10" i="12" s="1"/>
  <c r="G95" i="7"/>
  <c r="E28" i="6"/>
  <c r="F8" i="7"/>
  <c r="C5" i="13"/>
  <c r="C6" i="7"/>
  <c r="C30" i="7" s="1"/>
  <c r="C46" i="3" s="1"/>
  <c r="G71" i="7"/>
  <c r="G66" i="3" s="1"/>
  <c r="F26" i="8"/>
  <c r="C8" i="13"/>
  <c r="F6" i="7"/>
  <c r="F16" i="7" s="1"/>
  <c r="F75" i="3" s="1"/>
  <c r="C18" i="2"/>
  <c r="F19" i="2"/>
  <c r="C56" i="3"/>
  <c r="C8" i="4"/>
  <c r="G37" i="8"/>
  <c r="G51" i="7"/>
  <c r="C31" i="8"/>
  <c r="C7" i="6"/>
  <c r="C75" i="7"/>
  <c r="E12" i="5"/>
  <c r="E9" i="7"/>
  <c r="M9" i="13"/>
  <c r="G20" i="6"/>
  <c r="G21" i="6"/>
  <c r="G32" i="7"/>
  <c r="D28" i="6"/>
  <c r="D29" i="6" s="1"/>
  <c r="G24" i="7"/>
  <c r="E15" i="7"/>
  <c r="R9" i="13"/>
  <c r="G22" i="7"/>
  <c r="G61" i="3" s="1"/>
  <c r="G23" i="7"/>
  <c r="H74" i="7" s="1"/>
  <c r="H21" i="9" s="1"/>
  <c r="G26" i="8"/>
  <c r="H73" i="7"/>
  <c r="U5" i="13"/>
  <c r="C14" i="8"/>
  <c r="G69" i="7"/>
  <c r="G65" i="7"/>
  <c r="G87" i="3" s="1"/>
  <c r="G29" i="6"/>
  <c r="I55" i="7"/>
  <c r="I23" i="6" s="1"/>
  <c r="G19" i="5"/>
  <c r="C10" i="1"/>
  <c r="U14" i="13"/>
  <c r="L14" i="8"/>
  <c r="L17" i="8" s="1"/>
  <c r="C4" i="2"/>
  <c r="G19" i="2"/>
  <c r="D8" i="4"/>
  <c r="F12" i="5"/>
  <c r="F19" i="5" s="1"/>
  <c r="F9" i="7"/>
  <c r="G18" i="5"/>
  <c r="E18" i="2"/>
  <c r="C51" i="3"/>
  <c r="E8" i="4"/>
  <c r="E31" i="8"/>
  <c r="E7" i="6"/>
  <c r="E75" i="7"/>
  <c r="H38" i="7"/>
  <c r="H51" i="7" s="1"/>
  <c r="H16" i="4" s="1"/>
  <c r="F46" i="7"/>
  <c r="F84" i="3" s="1"/>
  <c r="E50" i="7"/>
  <c r="D11" i="7"/>
  <c r="D18" i="5"/>
  <c r="F80" i="7"/>
  <c r="C29" i="6"/>
  <c r="G20" i="10"/>
  <c r="F20" i="10"/>
  <c r="E20" i="10"/>
  <c r="D20" i="10"/>
  <c r="C9" i="13"/>
  <c r="G6" i="7"/>
  <c r="G18" i="7" s="1"/>
  <c r="G76" i="3" s="1"/>
  <c r="D18" i="2"/>
  <c r="D75" i="7"/>
  <c r="D7" i="6"/>
  <c r="E80" i="7"/>
  <c r="E79" i="7"/>
  <c r="E78" i="3" s="1"/>
  <c r="F18" i="2"/>
  <c r="F8" i="4"/>
  <c r="D83" i="7"/>
  <c r="D81" i="7"/>
  <c r="D90" i="3" s="1"/>
  <c r="F75" i="7"/>
  <c r="F31" i="8"/>
  <c r="F7" i="6"/>
  <c r="E8" i="7"/>
  <c r="C54" i="9"/>
  <c r="C22" i="7"/>
  <c r="C61" i="3" s="1"/>
  <c r="E24" i="7"/>
  <c r="D31" i="8"/>
  <c r="P7" i="13"/>
  <c r="E57" i="7"/>
  <c r="E79" i="3" s="1"/>
  <c r="F82" i="7"/>
  <c r="C6" i="6"/>
  <c r="C37" i="8"/>
  <c r="C38" i="8" s="1"/>
  <c r="G56" i="3"/>
  <c r="G8" i="4"/>
  <c r="E81" i="7"/>
  <c r="E90" i="3" s="1"/>
  <c r="E83" i="7"/>
  <c r="F18" i="5"/>
  <c r="J22" i="5"/>
  <c r="G40" i="7"/>
  <c r="G86" i="3" s="1"/>
  <c r="H66" i="7"/>
  <c r="E6" i="6"/>
  <c r="F24" i="7"/>
  <c r="D82" i="7"/>
  <c r="G31" i="8"/>
  <c r="F14" i="7"/>
  <c r="F74" i="3" s="1"/>
  <c r="G89" i="7"/>
  <c r="D21" i="7"/>
  <c r="F39" i="7"/>
  <c r="E82" i="7"/>
  <c r="F15" i="7"/>
  <c r="C23" i="7"/>
  <c r="C15" i="9"/>
  <c r="D23" i="7"/>
  <c r="C18" i="5"/>
  <c r="E23" i="7"/>
  <c r="F72" i="7" s="1"/>
  <c r="F89" i="3" s="1"/>
  <c r="E38" i="8"/>
  <c r="F35" i="7"/>
  <c r="F82" i="3" s="1"/>
  <c r="L40" i="9"/>
  <c r="I40" i="9"/>
  <c r="K40" i="9"/>
  <c r="J40" i="9"/>
  <c r="H40" i="9"/>
  <c r="S8" i="13"/>
  <c r="F70" i="7"/>
  <c r="G35" i="7"/>
  <c r="G82" i="3" s="1"/>
  <c r="F50" i="7"/>
  <c r="R5" i="13"/>
  <c r="E18" i="5"/>
  <c r="Q5" i="13"/>
  <c r="C95" i="7"/>
  <c r="S9" i="13"/>
  <c r="C57" i="9"/>
  <c r="M8" i="13"/>
  <c r="F32" i="7"/>
  <c r="E29" i="6"/>
  <c r="G10" i="10"/>
  <c r="A43" i="10" s="1"/>
  <c r="F10" i="10"/>
  <c r="A40" i="10" s="1"/>
  <c r="E10" i="10"/>
  <c r="A37" i="10" s="1"/>
  <c r="D10" i="10"/>
  <c r="A34" i="10" s="1"/>
  <c r="C10" i="10"/>
  <c r="A31" i="10" s="1"/>
  <c r="F14" i="4" l="1"/>
  <c r="F9" i="4"/>
  <c r="D14" i="4"/>
  <c r="D9" i="4"/>
  <c r="G36" i="8"/>
  <c r="G38" i="8" s="1"/>
  <c r="G30" i="7"/>
  <c r="G46" i="3" s="1"/>
  <c r="G29" i="2"/>
  <c r="C14" i="4"/>
  <c r="C96" i="7" s="1"/>
  <c r="C9" i="4"/>
  <c r="F14" i="8"/>
  <c r="F17" i="8" s="1"/>
  <c r="U8" i="13"/>
  <c r="F35" i="2"/>
  <c r="F51" i="3"/>
  <c r="D18" i="7"/>
  <c r="D76" i="3" s="1"/>
  <c r="H11" i="7"/>
  <c r="H13" i="7"/>
  <c r="H28" i="5" s="1"/>
  <c r="H14" i="6" s="1"/>
  <c r="H37" i="10"/>
  <c r="L31" i="10"/>
  <c r="C27" i="8"/>
  <c r="T5" i="13"/>
  <c r="C31" i="2"/>
  <c r="D9" i="12"/>
  <c r="D36" i="5"/>
  <c r="D5" i="12" s="1"/>
  <c r="F16" i="8"/>
  <c r="F56" i="3"/>
  <c r="H21" i="7"/>
  <c r="H31" i="5" s="1"/>
  <c r="H15" i="7"/>
  <c r="H15" i="5" s="1"/>
  <c r="H12" i="6" s="1"/>
  <c r="H32" i="7"/>
  <c r="H67" i="7"/>
  <c r="H43" i="7" s="1"/>
  <c r="H58" i="7"/>
  <c r="H12" i="7"/>
  <c r="H14" i="5" s="1"/>
  <c r="H10" i="6" s="1"/>
  <c r="H19" i="7"/>
  <c r="H29" i="5" s="1"/>
  <c r="H15" i="6" s="1"/>
  <c r="H17" i="7"/>
  <c r="H30" i="5" s="1"/>
  <c r="H80" i="7"/>
  <c r="H16" i="5" s="1"/>
  <c r="H20" i="6" s="1"/>
  <c r="I43" i="10"/>
  <c r="I31" i="10"/>
  <c r="H34" i="10"/>
  <c r="F15" i="8"/>
  <c r="F73" i="3"/>
  <c r="F9" i="12"/>
  <c r="G22" i="8"/>
  <c r="F36" i="5"/>
  <c r="F5" i="12" s="1"/>
  <c r="C57" i="7"/>
  <c r="C79" i="3" s="1"/>
  <c r="D16" i="7"/>
  <c r="D75" i="3" s="1"/>
  <c r="D34" i="5"/>
  <c r="L40" i="10"/>
  <c r="C18" i="7"/>
  <c r="C76" i="3" s="1"/>
  <c r="E30" i="7"/>
  <c r="E46" i="3" s="1"/>
  <c r="E16" i="7"/>
  <c r="E75" i="3" s="1"/>
  <c r="E18" i="7"/>
  <c r="E76" i="3" s="1"/>
  <c r="C14" i="7"/>
  <c r="C74" i="3" s="1"/>
  <c r="L34" i="10"/>
  <c r="K37" i="10"/>
  <c r="J40" i="10"/>
  <c r="D8" i="7"/>
  <c r="D24" i="7"/>
  <c r="E26" i="7" s="1"/>
  <c r="D22" i="7"/>
  <c r="D61" i="3" s="1"/>
  <c r="E25" i="7"/>
  <c r="C16" i="7"/>
  <c r="C75" i="3" s="1"/>
  <c r="I40" i="10"/>
  <c r="F36" i="8"/>
  <c r="F38" i="8" s="1"/>
  <c r="F30" i="7"/>
  <c r="F46" i="3" s="1"/>
  <c r="F29" i="2"/>
  <c r="T9" i="13"/>
  <c r="G27" i="8"/>
  <c r="G96" i="7"/>
  <c r="G31" i="2"/>
  <c r="H76" i="7"/>
  <c r="H27" i="6" s="1"/>
  <c r="G14" i="7"/>
  <c r="G74" i="3" s="1"/>
  <c r="L41" i="9"/>
  <c r="B15" i="10"/>
  <c r="B13" i="10"/>
  <c r="B11" i="10"/>
  <c r="K41" i="9"/>
  <c r="B25" i="10"/>
  <c r="B23" i="10"/>
  <c r="B21" i="10"/>
  <c r="J41" i="9"/>
  <c r="I41" i="9"/>
  <c r="H41" i="9"/>
  <c r="L31" i="9"/>
  <c r="K31" i="9"/>
  <c r="B24" i="10"/>
  <c r="B22" i="10"/>
  <c r="H31" i="9"/>
  <c r="B12" i="10"/>
  <c r="J31" i="9"/>
  <c r="C26" i="12"/>
  <c r="M26" i="12" s="1"/>
  <c r="I31" i="9"/>
  <c r="F14" i="11"/>
  <c r="B14" i="10"/>
  <c r="C7" i="2"/>
  <c r="G14" i="4"/>
  <c r="G9" i="4"/>
  <c r="G16" i="7"/>
  <c r="G75" i="3" s="1"/>
  <c r="E15" i="8"/>
  <c r="E73" i="3"/>
  <c r="H8" i="4"/>
  <c r="H14" i="4" s="1"/>
  <c r="I37" i="10"/>
  <c r="I34" i="10"/>
  <c r="D30" i="7"/>
  <c r="D46" i="3" s="1"/>
  <c r="D57" i="7"/>
  <c r="D79" i="3" s="1"/>
  <c r="I18" i="9"/>
  <c r="C11" i="13"/>
  <c r="I10" i="4"/>
  <c r="J5" i="4"/>
  <c r="I7" i="4"/>
  <c r="I7" i="7" s="1"/>
  <c r="I12" i="4"/>
  <c r="I8" i="4"/>
  <c r="I14" i="4" s="1"/>
  <c r="I18" i="2"/>
  <c r="I6" i="7"/>
  <c r="H37" i="8"/>
  <c r="H25" i="9"/>
  <c r="H6" i="6"/>
  <c r="F27" i="8"/>
  <c r="F96" i="7"/>
  <c r="T8" i="13"/>
  <c r="F31" i="2"/>
  <c r="G79" i="7"/>
  <c r="G78" i="3" s="1"/>
  <c r="G64" i="7"/>
  <c r="G88" i="3" s="1"/>
  <c r="F40" i="7"/>
  <c r="F86" i="3" s="1"/>
  <c r="U7" i="13"/>
  <c r="E14" i="8"/>
  <c r="E17" i="8" s="1"/>
  <c r="E51" i="3"/>
  <c r="E35" i="2"/>
  <c r="F79" i="7"/>
  <c r="F78" i="3" s="1"/>
  <c r="E14" i="4"/>
  <c r="E9" i="4"/>
  <c r="G9" i="12"/>
  <c r="E19" i="5"/>
  <c r="E21" i="8" s="1"/>
  <c r="C79" i="7"/>
  <c r="C78" i="3" s="1"/>
  <c r="I56" i="7"/>
  <c r="D14" i="7"/>
  <c r="D74" i="3" s="1"/>
  <c r="K43" i="10"/>
  <c r="J31" i="10"/>
  <c r="K40" i="10"/>
  <c r="H69" i="7"/>
  <c r="H26" i="6" s="1"/>
  <c r="H68" i="7"/>
  <c r="H75" i="7" s="1"/>
  <c r="H21" i="4" s="1"/>
  <c r="G26" i="7"/>
  <c r="G25" i="7"/>
  <c r="G27" i="7" s="1"/>
  <c r="K22" i="5"/>
  <c r="C20" i="7"/>
  <c r="C77" i="3" s="1"/>
  <c r="F26" i="7"/>
  <c r="F25" i="7"/>
  <c r="F27" i="7" s="1"/>
  <c r="G57" i="7"/>
  <c r="G79" i="3" s="1"/>
  <c r="D9" i="7"/>
  <c r="C19" i="5"/>
  <c r="G34" i="5"/>
  <c r="G36" i="5" s="1"/>
  <c r="G5" i="12" s="1"/>
  <c r="H31" i="10"/>
  <c r="L37" i="10"/>
  <c r="C9" i="7"/>
  <c r="G21" i="8"/>
  <c r="G9" i="7"/>
  <c r="J37" i="10"/>
  <c r="E14" i="7"/>
  <c r="E74" i="3" s="1"/>
  <c r="F18" i="7"/>
  <c r="F76" i="3" s="1"/>
  <c r="G20" i="7"/>
  <c r="G77" i="3" s="1"/>
  <c r="L43" i="10"/>
  <c r="K31" i="10"/>
  <c r="H21" i="12" l="1"/>
  <c r="H31" i="8"/>
  <c r="H7" i="6"/>
  <c r="C32" i="2"/>
  <c r="C29" i="8"/>
  <c r="I11" i="7"/>
  <c r="I13" i="7"/>
  <c r="I28" i="5" s="1"/>
  <c r="I14" i="6" s="1"/>
  <c r="H5" i="13"/>
  <c r="C31" i="3"/>
  <c r="C20" i="2"/>
  <c r="D14" i="8"/>
  <c r="U6" i="13"/>
  <c r="D51" i="3"/>
  <c r="D35" i="2"/>
  <c r="C12" i="13"/>
  <c r="J18" i="9"/>
  <c r="J8" i="4"/>
  <c r="J10" i="4"/>
  <c r="K5" i="4"/>
  <c r="J12" i="4"/>
  <c r="J7" i="4"/>
  <c r="J7" i="7" s="1"/>
  <c r="J6" i="7"/>
  <c r="J18" i="2"/>
  <c r="H9" i="13"/>
  <c r="G20" i="2"/>
  <c r="G31" i="3"/>
  <c r="H26" i="9"/>
  <c r="H36" i="8"/>
  <c r="H38" i="8" s="1"/>
  <c r="H33" i="7"/>
  <c r="H48" i="7" s="1"/>
  <c r="H50" i="7" s="1"/>
  <c r="H19" i="6"/>
  <c r="H29" i="2"/>
  <c r="D15" i="8"/>
  <c r="D73" i="3"/>
  <c r="H70" i="7"/>
  <c r="H7" i="13"/>
  <c r="E31" i="3"/>
  <c r="E20" i="2"/>
  <c r="F29" i="8"/>
  <c r="F32" i="2"/>
  <c r="D9" i="13"/>
  <c r="G28" i="8"/>
  <c r="G15" i="4"/>
  <c r="G17" i="4"/>
  <c r="G21" i="2"/>
  <c r="H19" i="9"/>
  <c r="C83" i="9" s="1"/>
  <c r="D10" i="13"/>
  <c r="H28" i="8"/>
  <c r="H15" i="4"/>
  <c r="H17" i="4"/>
  <c r="H21" i="2"/>
  <c r="E28" i="8"/>
  <c r="D7" i="13"/>
  <c r="E17" i="4"/>
  <c r="E15" i="4"/>
  <c r="E21" i="2"/>
  <c r="E96" i="7"/>
  <c r="H27" i="9"/>
  <c r="H45" i="7"/>
  <c r="H6" i="13"/>
  <c r="D20" i="2"/>
  <c r="D31" i="3"/>
  <c r="C15" i="8"/>
  <c r="C17" i="8" s="1"/>
  <c r="C73" i="3"/>
  <c r="E27" i="7"/>
  <c r="H23" i="7"/>
  <c r="H13" i="5"/>
  <c r="H24" i="7"/>
  <c r="D6" i="13"/>
  <c r="D28" i="8"/>
  <c r="D17" i="4"/>
  <c r="D15" i="4"/>
  <c r="D21" i="2"/>
  <c r="D96" i="7"/>
  <c r="I28" i="8"/>
  <c r="I19" i="9"/>
  <c r="D11" i="13"/>
  <c r="I15" i="4"/>
  <c r="I21" i="2"/>
  <c r="C28" i="8"/>
  <c r="D5" i="13"/>
  <c r="C15" i="4"/>
  <c r="C17" i="4"/>
  <c r="C21" i="2"/>
  <c r="C9" i="12"/>
  <c r="M9" i="12" s="1"/>
  <c r="D22" i="8"/>
  <c r="C36" i="5"/>
  <c r="C5" i="12" s="1"/>
  <c r="D21" i="8"/>
  <c r="H8" i="13"/>
  <c r="F31" i="3"/>
  <c r="F20" i="2"/>
  <c r="I32" i="7"/>
  <c r="I67" i="7"/>
  <c r="I43" i="7" s="1"/>
  <c r="I27" i="9" s="1"/>
  <c r="I17" i="7"/>
  <c r="I30" i="5" s="1"/>
  <c r="I58" i="7"/>
  <c r="I12" i="7"/>
  <c r="I14" i="5" s="1"/>
  <c r="I10" i="6" s="1"/>
  <c r="I21" i="7"/>
  <c r="I31" i="5" s="1"/>
  <c r="I15" i="7"/>
  <c r="I15" i="5" s="1"/>
  <c r="I12" i="6" s="1"/>
  <c r="I80" i="7"/>
  <c r="I16" i="5" s="1"/>
  <c r="I19" i="7"/>
  <c r="I29" i="5" s="1"/>
  <c r="I15" i="6" s="1"/>
  <c r="F28" i="8"/>
  <c r="D8" i="13"/>
  <c r="F15" i="4"/>
  <c r="F21" i="2"/>
  <c r="F17" i="4"/>
  <c r="D25" i="7"/>
  <c r="D27" i="7" s="1"/>
  <c r="D26" i="7"/>
  <c r="E9" i="12"/>
  <c r="F22" i="8"/>
  <c r="E36" i="5"/>
  <c r="E5" i="12" s="1"/>
  <c r="F21" i="8"/>
  <c r="G15" i="8"/>
  <c r="G17" i="8" s="1"/>
  <c r="G73" i="3"/>
  <c r="G29" i="8"/>
  <c r="G32" i="2"/>
  <c r="L22" i="5"/>
  <c r="J54" i="7"/>
  <c r="E22" i="8"/>
  <c r="I11" i="13" l="1"/>
  <c r="I22" i="2"/>
  <c r="I26" i="9"/>
  <c r="I36" i="8"/>
  <c r="I33" i="7"/>
  <c r="I48" i="7" s="1"/>
  <c r="I19" i="6"/>
  <c r="I29" i="2"/>
  <c r="E29" i="8"/>
  <c r="E32" i="2"/>
  <c r="J13" i="7"/>
  <c r="J28" i="5" s="1"/>
  <c r="J14" i="6" s="1"/>
  <c r="J11" i="7"/>
  <c r="I8" i="13"/>
  <c r="F22" i="2"/>
  <c r="H26" i="7"/>
  <c r="H28" i="9" s="1"/>
  <c r="H25" i="7"/>
  <c r="H27" i="7" s="1"/>
  <c r="E9" i="13"/>
  <c r="G30" i="8"/>
  <c r="G97" i="7"/>
  <c r="G32" i="8" s="1"/>
  <c r="G18" i="4"/>
  <c r="G24" i="4"/>
  <c r="G23" i="2"/>
  <c r="H26" i="5"/>
  <c r="I74" i="7"/>
  <c r="I21" i="9" s="1"/>
  <c r="H11" i="6"/>
  <c r="I7" i="13"/>
  <c r="E22" i="2"/>
  <c r="I9" i="13"/>
  <c r="G22" i="2"/>
  <c r="H21" i="6"/>
  <c r="M10" i="13"/>
  <c r="C13" i="13"/>
  <c r="K18" i="9"/>
  <c r="K6" i="7"/>
  <c r="K10" i="4"/>
  <c r="L5" i="4"/>
  <c r="K12" i="4"/>
  <c r="K18" i="2"/>
  <c r="K7" i="4"/>
  <c r="K7" i="7" s="1"/>
  <c r="J14" i="4"/>
  <c r="I47" i="7"/>
  <c r="H9" i="5"/>
  <c r="D29" i="8"/>
  <c r="D32" i="2"/>
  <c r="H20" i="9"/>
  <c r="H22" i="9" s="1"/>
  <c r="H30" i="8"/>
  <c r="E10" i="13"/>
  <c r="H97" i="7"/>
  <c r="H32" i="8" s="1"/>
  <c r="H24" i="4"/>
  <c r="H18" i="4"/>
  <c r="H20" i="12"/>
  <c r="H23" i="2"/>
  <c r="E7" i="13"/>
  <c r="E30" i="8"/>
  <c r="E23" i="2"/>
  <c r="E97" i="7"/>
  <c r="E32" i="8" s="1"/>
  <c r="E24" i="4"/>
  <c r="E18" i="4"/>
  <c r="I10" i="13"/>
  <c r="H22" i="2"/>
  <c r="C30" i="8"/>
  <c r="E5" i="13"/>
  <c r="C18" i="4"/>
  <c r="C24" i="4"/>
  <c r="C23" i="2"/>
  <c r="C97" i="7"/>
  <c r="C32" i="8" s="1"/>
  <c r="I6" i="13"/>
  <c r="D22" i="2"/>
  <c r="J55" i="7"/>
  <c r="J23" i="6" s="1"/>
  <c r="I5" i="13"/>
  <c r="C22" i="2"/>
  <c r="E6" i="13"/>
  <c r="D30" i="8"/>
  <c r="D23" i="2"/>
  <c r="D97" i="7"/>
  <c r="D32" i="8" s="1"/>
  <c r="D24" i="4"/>
  <c r="D18" i="4"/>
  <c r="H7" i="5"/>
  <c r="I42" i="7"/>
  <c r="H27" i="5"/>
  <c r="S10" i="13" s="1"/>
  <c r="I66" i="7"/>
  <c r="H34" i="7"/>
  <c r="H37" i="7" s="1"/>
  <c r="H39" i="7" s="1"/>
  <c r="I23" i="7"/>
  <c r="I24" i="7"/>
  <c r="I13" i="5"/>
  <c r="F30" i="8"/>
  <c r="F97" i="7"/>
  <c r="F32" i="8" s="1"/>
  <c r="F23" i="2"/>
  <c r="E8" i="13"/>
  <c r="F24" i="4"/>
  <c r="F18" i="4"/>
  <c r="J58" i="7"/>
  <c r="J67" i="7"/>
  <c r="J43" i="7" s="1"/>
  <c r="J27" i="9" s="1"/>
  <c r="J12" i="7"/>
  <c r="J14" i="5" s="1"/>
  <c r="J10" i="6" s="1"/>
  <c r="J32" i="7"/>
  <c r="J21" i="7"/>
  <c r="J31" i="5" s="1"/>
  <c r="J15" i="7"/>
  <c r="J15" i="5" s="1"/>
  <c r="J12" i="6" s="1"/>
  <c r="J80" i="7"/>
  <c r="J16" i="5" s="1"/>
  <c r="J19" i="7"/>
  <c r="J29" i="5" s="1"/>
  <c r="J17" i="7"/>
  <c r="J30" i="5" s="1"/>
  <c r="D17" i="8"/>
  <c r="I49" i="7" l="1"/>
  <c r="I50" i="7" s="1"/>
  <c r="F8" i="12"/>
  <c r="F27" i="4"/>
  <c r="F5" i="6"/>
  <c r="F26" i="4"/>
  <c r="J9" i="13"/>
  <c r="G24" i="2"/>
  <c r="M11" i="13"/>
  <c r="I70" i="7"/>
  <c r="I69" i="7"/>
  <c r="I26" i="6" s="1"/>
  <c r="I68" i="7"/>
  <c r="I44" i="7"/>
  <c r="I45" i="7" s="1"/>
  <c r="J7" i="13"/>
  <c r="E24" i="2"/>
  <c r="K8" i="4"/>
  <c r="K14" i="4" s="1"/>
  <c r="J8" i="13"/>
  <c r="F24" i="2"/>
  <c r="J15" i="6"/>
  <c r="F6" i="11"/>
  <c r="C14" i="13"/>
  <c r="L18" i="9"/>
  <c r="F5" i="11"/>
  <c r="L12" i="4"/>
  <c r="L7" i="4"/>
  <c r="L7" i="7" s="1"/>
  <c r="L18" i="2"/>
  <c r="L6" i="7"/>
  <c r="L8" i="4"/>
  <c r="L14" i="4" s="1"/>
  <c r="L10" i="4"/>
  <c r="I34" i="7"/>
  <c r="I37" i="7" s="1"/>
  <c r="D12" i="13"/>
  <c r="J19" i="9"/>
  <c r="J28" i="8"/>
  <c r="J21" i="2"/>
  <c r="J15" i="4"/>
  <c r="J56" i="7"/>
  <c r="E8" i="12"/>
  <c r="E27" i="4"/>
  <c r="E5" i="6"/>
  <c r="E26" i="4"/>
  <c r="I11" i="6"/>
  <c r="D8" i="12"/>
  <c r="D27" i="4"/>
  <c r="D5" i="6"/>
  <c r="D26" i="4"/>
  <c r="G8" i="12"/>
  <c r="G26" i="4"/>
  <c r="G5" i="6"/>
  <c r="G27" i="4"/>
  <c r="H15" i="12"/>
  <c r="H5" i="6"/>
  <c r="H9" i="6" s="1"/>
  <c r="H25" i="4"/>
  <c r="I26" i="7"/>
  <c r="I28" i="9" s="1"/>
  <c r="I25" i="7"/>
  <c r="I27" i="7" s="1"/>
  <c r="H23" i="9"/>
  <c r="H24" i="9"/>
  <c r="H29" i="9" s="1"/>
  <c r="K67" i="7"/>
  <c r="K43" i="7" s="1"/>
  <c r="K27" i="9" s="1"/>
  <c r="K17" i="7"/>
  <c r="K30" i="5" s="1"/>
  <c r="K12" i="7"/>
  <c r="K14" i="5" s="1"/>
  <c r="K10" i="6" s="1"/>
  <c r="K32" i="7"/>
  <c r="K21" i="7"/>
  <c r="K31" i="5" s="1"/>
  <c r="K15" i="7"/>
  <c r="K15" i="5" s="1"/>
  <c r="K12" i="6" s="1"/>
  <c r="K80" i="7"/>
  <c r="K16" i="5" s="1"/>
  <c r="K19" i="7"/>
  <c r="K29" i="5" s="1"/>
  <c r="K58" i="7"/>
  <c r="J10" i="13"/>
  <c r="H24" i="2"/>
  <c r="J6" i="13"/>
  <c r="D24" i="2"/>
  <c r="C8" i="12"/>
  <c r="M8" i="12" s="1"/>
  <c r="C27" i="4"/>
  <c r="C5" i="6"/>
  <c r="C26" i="4"/>
  <c r="C80" i="3" s="1"/>
  <c r="R10" i="13"/>
  <c r="H13" i="6"/>
  <c r="K11" i="7"/>
  <c r="K13" i="7"/>
  <c r="K28" i="5" s="1"/>
  <c r="K14" i="6" s="1"/>
  <c r="J26" i="9"/>
  <c r="J36" i="8"/>
  <c r="J33" i="7"/>
  <c r="J48" i="7" s="1"/>
  <c r="J19" i="6"/>
  <c r="J29" i="2"/>
  <c r="I17" i="12"/>
  <c r="J74" i="7"/>
  <c r="J21" i="9" s="1"/>
  <c r="I26" i="5"/>
  <c r="H6" i="5"/>
  <c r="H12" i="5" s="1"/>
  <c r="I36" i="7"/>
  <c r="J5" i="13"/>
  <c r="C24" i="2"/>
  <c r="H17" i="12"/>
  <c r="J24" i="7"/>
  <c r="J23" i="7"/>
  <c r="J13" i="5"/>
  <c r="I7" i="5" l="1"/>
  <c r="J42" i="7"/>
  <c r="I9" i="5"/>
  <c r="J47" i="7"/>
  <c r="H26" i="4"/>
  <c r="H16" i="6"/>
  <c r="J11" i="6"/>
  <c r="E80" i="3"/>
  <c r="E94" i="7"/>
  <c r="G80" i="3"/>
  <c r="G94" i="7"/>
  <c r="D13" i="13"/>
  <c r="K19" i="9"/>
  <c r="K28" i="8"/>
  <c r="K21" i="2"/>
  <c r="K15" i="4"/>
  <c r="K74" i="7"/>
  <c r="K21" i="9" s="1"/>
  <c r="J26" i="5"/>
  <c r="E8" i="6"/>
  <c r="E9" i="6" s="1"/>
  <c r="E17" i="6" s="1"/>
  <c r="J26" i="7"/>
  <c r="J28" i="9" s="1"/>
  <c r="J25" i="7"/>
  <c r="J27" i="7" s="1"/>
  <c r="C7" i="12"/>
  <c r="F5" i="13"/>
  <c r="C31" i="4"/>
  <c r="D86" i="7"/>
  <c r="D81" i="3" s="1"/>
  <c r="C6" i="8"/>
  <c r="C25" i="2"/>
  <c r="C28" i="4"/>
  <c r="C33" i="8"/>
  <c r="E6" i="8"/>
  <c r="E7" i="12"/>
  <c r="F7" i="13"/>
  <c r="E93" i="7"/>
  <c r="E31" i="4"/>
  <c r="E25" i="2"/>
  <c r="E28" i="4"/>
  <c r="F86" i="7"/>
  <c r="F81" i="3" s="1"/>
  <c r="E33" i="8"/>
  <c r="L67" i="7"/>
  <c r="L43" i="7" s="1"/>
  <c r="L27" i="9" s="1"/>
  <c r="L17" i="7"/>
  <c r="L30" i="5" s="1"/>
  <c r="L58" i="7"/>
  <c r="L21" i="7"/>
  <c r="L31" i="5" s="1"/>
  <c r="L15" i="7"/>
  <c r="L15" i="5" s="1"/>
  <c r="L12" i="6" s="1"/>
  <c r="L80" i="7"/>
  <c r="L16" i="5" s="1"/>
  <c r="L19" i="7"/>
  <c r="L29" i="5" s="1"/>
  <c r="L12" i="7"/>
  <c r="L14" i="5" s="1"/>
  <c r="L10" i="6" s="1"/>
  <c r="L32" i="7"/>
  <c r="K54" i="7"/>
  <c r="L11" i="7"/>
  <c r="L13" i="7"/>
  <c r="L28" i="5" s="1"/>
  <c r="L14" i="6" s="1"/>
  <c r="F80" i="3"/>
  <c r="F94" i="7"/>
  <c r="C8" i="6"/>
  <c r="C9" i="6" s="1"/>
  <c r="C17" i="6" s="1"/>
  <c r="M12" i="13"/>
  <c r="G8" i="6"/>
  <c r="G9" i="6" s="1"/>
  <c r="G17" i="6" s="1"/>
  <c r="H32" i="9"/>
  <c r="O10" i="13"/>
  <c r="I12" i="13"/>
  <c r="J22" i="2"/>
  <c r="F8" i="6"/>
  <c r="F9" i="6" s="1"/>
  <c r="F17" i="6" s="1"/>
  <c r="J66" i="7"/>
  <c r="I27" i="5"/>
  <c r="S11" i="13" s="1"/>
  <c r="K36" i="8"/>
  <c r="K26" i="9"/>
  <c r="K33" i="7"/>
  <c r="K48" i="7" s="1"/>
  <c r="K19" i="6"/>
  <c r="K29" i="2"/>
  <c r="I39" i="7"/>
  <c r="I38" i="7"/>
  <c r="I51" i="7" s="1"/>
  <c r="I16" i="4" s="1"/>
  <c r="J34" i="7"/>
  <c r="J37" i="7" s="1"/>
  <c r="D80" i="3"/>
  <c r="D94" i="7"/>
  <c r="F7" i="12"/>
  <c r="F8" i="13"/>
  <c r="F6" i="8"/>
  <c r="F93" i="7"/>
  <c r="F31" i="4"/>
  <c r="F28" i="4"/>
  <c r="F25" i="2"/>
  <c r="G86" i="7"/>
  <c r="G81" i="3" s="1"/>
  <c r="F33" i="8"/>
  <c r="H17" i="6"/>
  <c r="F9" i="13"/>
  <c r="G7" i="12"/>
  <c r="H89" i="7"/>
  <c r="H25" i="6" s="1"/>
  <c r="G93" i="7"/>
  <c r="G6" i="8"/>
  <c r="G25" i="2"/>
  <c r="G28" i="4"/>
  <c r="G31" i="4"/>
  <c r="G33" i="8"/>
  <c r="H13" i="12"/>
  <c r="K23" i="7"/>
  <c r="K24" i="7"/>
  <c r="K13" i="5"/>
  <c r="F6" i="13"/>
  <c r="D93" i="7"/>
  <c r="D6" i="8"/>
  <c r="D7" i="12"/>
  <c r="D31" i="4"/>
  <c r="D28" i="4"/>
  <c r="D25" i="2"/>
  <c r="E86" i="7"/>
  <c r="E81" i="3" s="1"/>
  <c r="D33" i="8"/>
  <c r="L19" i="9"/>
  <c r="C68" i="9" s="1"/>
  <c r="C69" i="9" s="1"/>
  <c r="C70" i="9" s="1"/>
  <c r="D14" i="13"/>
  <c r="L28" i="8"/>
  <c r="L21" i="2"/>
  <c r="L15" i="4"/>
  <c r="D8" i="6"/>
  <c r="D9" i="6" s="1"/>
  <c r="D17" i="6" s="1"/>
  <c r="R11" i="13"/>
  <c r="I13" i="6"/>
  <c r="K15" i="6"/>
  <c r="H27" i="4"/>
  <c r="G11" i="12" l="1"/>
  <c r="G7" i="8"/>
  <c r="G31" i="6"/>
  <c r="L9" i="13"/>
  <c r="G37" i="6"/>
  <c r="G98" i="7"/>
  <c r="G28" i="2"/>
  <c r="L8" i="13"/>
  <c r="F11" i="12"/>
  <c r="F7" i="8"/>
  <c r="F31" i="6"/>
  <c r="F98" i="7"/>
  <c r="F37" i="6"/>
  <c r="F28" i="2"/>
  <c r="L5" i="13"/>
  <c r="C98" i="7"/>
  <c r="C11" i="12"/>
  <c r="C7" i="8"/>
  <c r="C31" i="6"/>
  <c r="C28" i="2"/>
  <c r="C37" i="6"/>
  <c r="E11" i="12"/>
  <c r="L7" i="13"/>
  <c r="E7" i="8"/>
  <c r="E8" i="8" s="1"/>
  <c r="E9" i="8" s="1"/>
  <c r="E98" i="7"/>
  <c r="E37" i="6"/>
  <c r="E31" i="6"/>
  <c r="E28" i="2"/>
  <c r="D11" i="12"/>
  <c r="D98" i="7"/>
  <c r="D31" i="6"/>
  <c r="L6" i="13"/>
  <c r="D7" i="8"/>
  <c r="D37" i="6"/>
  <c r="D28" i="2"/>
  <c r="K5" i="13"/>
  <c r="C20" i="8"/>
  <c r="C26" i="2"/>
  <c r="W7" i="13"/>
  <c r="E34" i="2"/>
  <c r="G6" i="13"/>
  <c r="D27" i="2"/>
  <c r="R12" i="13"/>
  <c r="J13" i="6"/>
  <c r="M13" i="13"/>
  <c r="I13" i="13"/>
  <c r="K22" i="2"/>
  <c r="I14" i="13"/>
  <c r="F7" i="11"/>
  <c r="L22" i="2"/>
  <c r="G8" i="13"/>
  <c r="F27" i="2"/>
  <c r="K55" i="7"/>
  <c r="K23" i="6" s="1"/>
  <c r="K56" i="7"/>
  <c r="K7" i="13"/>
  <c r="E20" i="8"/>
  <c r="E23" i="8" s="1"/>
  <c r="E26" i="2"/>
  <c r="G5" i="13"/>
  <c r="C27" i="2"/>
  <c r="K9" i="13"/>
  <c r="G20" i="8"/>
  <c r="G23" i="8" s="1"/>
  <c r="G26" i="2"/>
  <c r="V8" i="13"/>
  <c r="F33" i="2"/>
  <c r="K11" i="6"/>
  <c r="L26" i="9"/>
  <c r="L36" i="8"/>
  <c r="L33" i="7"/>
  <c r="L48" i="7" s="1"/>
  <c r="L19" i="6"/>
  <c r="L29" i="2"/>
  <c r="D8" i="8"/>
  <c r="D9" i="8" s="1"/>
  <c r="M7" i="12"/>
  <c r="J49" i="7"/>
  <c r="J50" i="7" s="1"/>
  <c r="K6" i="13"/>
  <c r="D20" i="8"/>
  <c r="D23" i="8" s="1"/>
  <c r="D26" i="2"/>
  <c r="W8" i="13"/>
  <c r="F34" i="2"/>
  <c r="G9" i="13"/>
  <c r="G27" i="2"/>
  <c r="V6" i="13"/>
  <c r="D33" i="2"/>
  <c r="V9" i="13"/>
  <c r="G33" i="2"/>
  <c r="W6" i="13"/>
  <c r="D34" i="2"/>
  <c r="K26" i="7"/>
  <c r="K28" i="9" s="1"/>
  <c r="K25" i="7"/>
  <c r="K27" i="7" s="1"/>
  <c r="J69" i="7"/>
  <c r="J26" i="6" s="1"/>
  <c r="J68" i="7"/>
  <c r="J70" i="7" s="1"/>
  <c r="G7" i="13"/>
  <c r="E27" i="2"/>
  <c r="H88" i="7"/>
  <c r="H90" i="7" s="1"/>
  <c r="F10" i="13"/>
  <c r="H6" i="8"/>
  <c r="I89" i="7"/>
  <c r="I25" i="6" s="1"/>
  <c r="H28" i="4"/>
  <c r="H25" i="2"/>
  <c r="H31" i="4"/>
  <c r="L74" i="7"/>
  <c r="L21" i="9" s="1"/>
  <c r="K26" i="5"/>
  <c r="L10" i="13"/>
  <c r="H98" i="7"/>
  <c r="H7" i="8"/>
  <c r="H37" i="6"/>
  <c r="H28" i="2"/>
  <c r="H59" i="7"/>
  <c r="H61" i="7" s="1"/>
  <c r="I15" i="12"/>
  <c r="L15" i="6"/>
  <c r="V7" i="13"/>
  <c r="E33" i="2"/>
  <c r="L23" i="7"/>
  <c r="L24" i="7"/>
  <c r="L13" i="5"/>
  <c r="J17" i="12"/>
  <c r="G8" i="8"/>
  <c r="G9" i="8" s="1"/>
  <c r="K34" i="7"/>
  <c r="K37" i="7" s="1"/>
  <c r="I37" i="8"/>
  <c r="I38" i="8" s="1"/>
  <c r="I25" i="9"/>
  <c r="I6" i="6"/>
  <c r="I17" i="4"/>
  <c r="W9" i="13"/>
  <c r="G34" i="2"/>
  <c r="J44" i="7"/>
  <c r="J45" i="7"/>
  <c r="K8" i="13"/>
  <c r="F20" i="8"/>
  <c r="F23" i="8" s="1"/>
  <c r="F26" i="2"/>
  <c r="J36" i="7"/>
  <c r="I6" i="5"/>
  <c r="I12" i="5" s="1"/>
  <c r="K66" i="7" l="1"/>
  <c r="J27" i="5"/>
  <c r="S12" i="13" s="1"/>
  <c r="J9" i="5"/>
  <c r="K47" i="7"/>
  <c r="H24" i="6"/>
  <c r="H29" i="6" s="1"/>
  <c r="H31" i="6" s="1"/>
  <c r="H62" i="7"/>
  <c r="K10" i="13"/>
  <c r="H20" i="8"/>
  <c r="H26" i="2"/>
  <c r="C10" i="8"/>
  <c r="C11" i="8"/>
  <c r="L54" i="7"/>
  <c r="M14" i="13"/>
  <c r="N5" i="13"/>
  <c r="C39" i="8"/>
  <c r="C38" i="6"/>
  <c r="C30" i="2"/>
  <c r="L34" i="7"/>
  <c r="L37" i="7" s="1"/>
  <c r="D12" i="12"/>
  <c r="D33" i="6"/>
  <c r="D34" i="6" s="1"/>
  <c r="D35" i="6" s="1"/>
  <c r="D6" i="12" s="1"/>
  <c r="J38" i="7"/>
  <c r="J51" i="7" s="1"/>
  <c r="J16" i="4" s="1"/>
  <c r="L11" i="6"/>
  <c r="M11" i="12"/>
  <c r="N9" i="13"/>
  <c r="G39" i="8"/>
  <c r="G38" i="6"/>
  <c r="G30" i="2"/>
  <c r="E11" i="8"/>
  <c r="E10" i="8"/>
  <c r="R13" i="13"/>
  <c r="K13" i="6"/>
  <c r="N6" i="13"/>
  <c r="D39" i="8"/>
  <c r="D38" i="6"/>
  <c r="D30" i="2"/>
  <c r="F10" i="8"/>
  <c r="F11" i="8"/>
  <c r="K17" i="12"/>
  <c r="G10" i="13"/>
  <c r="H27" i="2"/>
  <c r="H39" i="8"/>
  <c r="N10" i="13"/>
  <c r="H38" i="6"/>
  <c r="H30" i="2"/>
  <c r="L26" i="7"/>
  <c r="L28" i="9" s="1"/>
  <c r="L25" i="7"/>
  <c r="L27" i="7" s="1"/>
  <c r="L26" i="5"/>
  <c r="H10" i="8"/>
  <c r="H11" i="8"/>
  <c r="H8" i="8"/>
  <c r="E12" i="12"/>
  <c r="E34" i="6"/>
  <c r="E35" i="6" s="1"/>
  <c r="E6" i="12" s="1"/>
  <c r="E33" i="6"/>
  <c r="G12" i="12"/>
  <c r="G33" i="6"/>
  <c r="G34" i="6"/>
  <c r="I13" i="12"/>
  <c r="N7" i="13"/>
  <c r="E39" i="8"/>
  <c r="E30" i="2"/>
  <c r="E38" i="6"/>
  <c r="G10" i="8"/>
  <c r="G11" i="8"/>
  <c r="F12" i="12"/>
  <c r="F33" i="6"/>
  <c r="F34" i="6" s="1"/>
  <c r="F35" i="6" s="1"/>
  <c r="F6" i="12" s="1"/>
  <c r="J7" i="5"/>
  <c r="K42" i="7"/>
  <c r="D11" i="8"/>
  <c r="D10" i="8"/>
  <c r="C12" i="12"/>
  <c r="M12" i="12" s="1"/>
  <c r="C33" i="6"/>
  <c r="C34" i="6"/>
  <c r="C35" i="6" s="1"/>
  <c r="C6" i="12" s="1"/>
  <c r="I20" i="9"/>
  <c r="I22" i="9" s="1"/>
  <c r="I30" i="8"/>
  <c r="E11" i="13"/>
  <c r="I20" i="12"/>
  <c r="I18" i="4"/>
  <c r="I23" i="2"/>
  <c r="F8" i="8"/>
  <c r="F9" i="8" s="1"/>
  <c r="I87" i="7"/>
  <c r="H23" i="5"/>
  <c r="H24" i="5" s="1"/>
  <c r="C8" i="8"/>
  <c r="N8" i="13"/>
  <c r="F39" i="8"/>
  <c r="F38" i="6"/>
  <c r="F30" i="2"/>
  <c r="H19" i="12" l="1"/>
  <c r="I60" i="7"/>
  <c r="H63" i="7"/>
  <c r="R14" i="13"/>
  <c r="L13" i="6"/>
  <c r="L17" i="12"/>
  <c r="M17" i="12" s="1"/>
  <c r="J11" i="13"/>
  <c r="I24" i="2"/>
  <c r="K44" i="7"/>
  <c r="K45" i="7" s="1"/>
  <c r="J39" i="7"/>
  <c r="L55" i="7"/>
  <c r="L23" i="6" s="1"/>
  <c r="K50" i="7"/>
  <c r="K49" i="7"/>
  <c r="G35" i="6"/>
  <c r="G6" i="12" s="1"/>
  <c r="H32" i="6"/>
  <c r="H34" i="6" s="1"/>
  <c r="J25" i="9"/>
  <c r="J37" i="8"/>
  <c r="J38" i="8" s="1"/>
  <c r="J6" i="6"/>
  <c r="J17" i="4"/>
  <c r="H93" i="7"/>
  <c r="I23" i="9"/>
  <c r="I24" i="9" s="1"/>
  <c r="I29" i="9" s="1"/>
  <c r="K68" i="7"/>
  <c r="K70" i="7" s="1"/>
  <c r="K69" i="7"/>
  <c r="K26" i="6" s="1"/>
  <c r="H14" i="12"/>
  <c r="J15" i="12"/>
  <c r="I32" i="9" l="1"/>
  <c r="O11" i="13"/>
  <c r="L66" i="7"/>
  <c r="K27" i="5"/>
  <c r="S13" i="13" s="1"/>
  <c r="K7" i="5"/>
  <c r="L42" i="7"/>
  <c r="I32" i="6"/>
  <c r="H17" i="5"/>
  <c r="H35" i="6" s="1"/>
  <c r="H6" i="12" s="1"/>
  <c r="K9" i="5"/>
  <c r="L47" i="7"/>
  <c r="H26" i="8"/>
  <c r="I73" i="7"/>
  <c r="H25" i="5"/>
  <c r="E12" i="13"/>
  <c r="J20" i="9"/>
  <c r="J22" i="9" s="1"/>
  <c r="J30" i="8"/>
  <c r="J20" i="12"/>
  <c r="J23" i="2"/>
  <c r="J18" i="4"/>
  <c r="L56" i="7"/>
  <c r="V10" i="13"/>
  <c r="H33" i="2"/>
  <c r="J13" i="12"/>
  <c r="K36" i="7"/>
  <c r="J6" i="5"/>
  <c r="J12" i="5" s="1"/>
  <c r="K38" i="7" l="1"/>
  <c r="K51" i="7" s="1"/>
  <c r="K16" i="4" s="1"/>
  <c r="J23" i="9"/>
  <c r="J24" i="9" s="1"/>
  <c r="J29" i="9" s="1"/>
  <c r="L44" i="7"/>
  <c r="L45" i="7" s="1"/>
  <c r="L7" i="5" s="1"/>
  <c r="L68" i="7"/>
  <c r="L70" i="7" s="1"/>
  <c r="L69" i="7"/>
  <c r="L26" i="6" s="1"/>
  <c r="K15" i="12"/>
  <c r="H18" i="12"/>
  <c r="P10" i="13"/>
  <c r="I82" i="7"/>
  <c r="I83" i="7" s="1"/>
  <c r="I20" i="4" s="1"/>
  <c r="H18" i="5"/>
  <c r="H95" i="7"/>
  <c r="Q10" i="13"/>
  <c r="H33" i="5"/>
  <c r="H34" i="5" s="1"/>
  <c r="H94" i="7"/>
  <c r="H16" i="12"/>
  <c r="I75" i="7"/>
  <c r="I21" i="4" s="1"/>
  <c r="I76" i="7"/>
  <c r="I27" i="6" s="1"/>
  <c r="J12" i="13"/>
  <c r="J24" i="2"/>
  <c r="L49" i="7"/>
  <c r="L50" i="7"/>
  <c r="L9" i="5" s="1"/>
  <c r="L27" i="5" l="1"/>
  <c r="S14" i="13" s="1"/>
  <c r="O12" i="13"/>
  <c r="J32" i="9"/>
  <c r="W10" i="13"/>
  <c r="H34" i="2"/>
  <c r="I8" i="6"/>
  <c r="I20" i="6"/>
  <c r="I21" i="6" s="1"/>
  <c r="I24" i="4"/>
  <c r="T10" i="13"/>
  <c r="H27" i="8"/>
  <c r="H96" i="7"/>
  <c r="H31" i="2"/>
  <c r="K39" i="7"/>
  <c r="H19" i="5"/>
  <c r="I21" i="12"/>
  <c r="I31" i="8"/>
  <c r="I7" i="6"/>
  <c r="I97" i="7"/>
  <c r="I32" i="8" s="1"/>
  <c r="K37" i="8"/>
  <c r="K38" i="8" s="1"/>
  <c r="K6" i="6"/>
  <c r="K25" i="9"/>
  <c r="K17" i="4"/>
  <c r="L36" i="7" l="1"/>
  <c r="K6" i="5"/>
  <c r="K12" i="5" s="1"/>
  <c r="I5" i="6"/>
  <c r="I9" i="6" s="1"/>
  <c r="I25" i="4"/>
  <c r="H36" i="5"/>
  <c r="H5" i="12" s="1"/>
  <c r="H21" i="8"/>
  <c r="H23" i="8" s="1"/>
  <c r="H22" i="8"/>
  <c r="H9" i="8"/>
  <c r="H33" i="8"/>
  <c r="K20" i="9"/>
  <c r="K22" i="9" s="1"/>
  <c r="K30" i="8"/>
  <c r="E13" i="13"/>
  <c r="K20" i="12"/>
  <c r="K18" i="4"/>
  <c r="K23" i="2"/>
  <c r="H29" i="8"/>
  <c r="H32" i="2"/>
  <c r="L15" i="12"/>
  <c r="M15" i="12" s="1"/>
  <c r="I16" i="6" l="1"/>
  <c r="I26" i="4"/>
  <c r="I27" i="4"/>
  <c r="K23" i="9"/>
  <c r="K24" i="9" s="1"/>
  <c r="K29" i="9" s="1"/>
  <c r="L38" i="7"/>
  <c r="L51" i="7" s="1"/>
  <c r="L16" i="4" s="1"/>
  <c r="J13" i="13"/>
  <c r="K24" i="2"/>
  <c r="I17" i="6"/>
  <c r="K13" i="12"/>
  <c r="K32" i="9" l="1"/>
  <c r="O13" i="13"/>
  <c r="L11" i="13"/>
  <c r="I98" i="7"/>
  <c r="I37" i="6"/>
  <c r="I7" i="8"/>
  <c r="I28" i="2"/>
  <c r="I59" i="7"/>
  <c r="I61" i="7" s="1"/>
  <c r="L39" i="7"/>
  <c r="I88" i="7"/>
  <c r="I90" i="7" s="1"/>
  <c r="J89" i="7"/>
  <c r="J25" i="6" s="1"/>
  <c r="I6" i="8"/>
  <c r="F11" i="13"/>
  <c r="I28" i="4"/>
  <c r="I25" i="2"/>
  <c r="I31" i="4"/>
  <c r="L25" i="9"/>
  <c r="L37" i="8"/>
  <c r="L38" i="8" s="1"/>
  <c r="L6" i="6"/>
  <c r="L17" i="4"/>
  <c r="L6" i="5" l="1"/>
  <c r="L12" i="5" s="1"/>
  <c r="I24" i="6"/>
  <c r="I29" i="6" s="1"/>
  <c r="I31" i="6" s="1"/>
  <c r="I34" i="6" s="1"/>
  <c r="I62" i="7"/>
  <c r="I10" i="8"/>
  <c r="I11" i="8"/>
  <c r="E14" i="13"/>
  <c r="L20" i="9"/>
  <c r="L22" i="9" s="1"/>
  <c r="L23" i="2"/>
  <c r="L30" i="8"/>
  <c r="L18" i="4"/>
  <c r="L20" i="12"/>
  <c r="M20" i="12" s="1"/>
  <c r="G11" i="13"/>
  <c r="I27" i="2"/>
  <c r="K11" i="13"/>
  <c r="I20" i="8"/>
  <c r="I26" i="2"/>
  <c r="N11" i="13"/>
  <c r="I39" i="8"/>
  <c r="I38" i="6"/>
  <c r="I30" i="2"/>
  <c r="I8" i="8"/>
  <c r="I14" i="12"/>
  <c r="I23" i="5"/>
  <c r="I24" i="5" s="1"/>
  <c r="J87" i="7"/>
  <c r="L23" i="9" l="1"/>
  <c r="L24" i="9" s="1"/>
  <c r="I93" i="7"/>
  <c r="I19" i="12"/>
  <c r="J60" i="7"/>
  <c r="I63" i="7"/>
  <c r="J32" i="6"/>
  <c r="I35" i="6"/>
  <c r="I6" i="12" s="1"/>
  <c r="I17" i="5"/>
  <c r="J14" i="13"/>
  <c r="F8" i="11"/>
  <c r="L24" i="2"/>
  <c r="L13" i="12"/>
  <c r="M13" i="12" s="1"/>
  <c r="H37" i="9" l="1"/>
  <c r="H32" i="10"/>
  <c r="L29" i="9"/>
  <c r="H38" i="10"/>
  <c r="H44" i="10"/>
  <c r="H35" i="10"/>
  <c r="H41" i="10"/>
  <c r="I26" i="8"/>
  <c r="J73" i="7"/>
  <c r="I25" i="5"/>
  <c r="I16" i="12" s="1"/>
  <c r="V11" i="13"/>
  <c r="I33" i="2"/>
  <c r="I18" i="12"/>
  <c r="P11" i="13"/>
  <c r="J82" i="7"/>
  <c r="J83" i="7" s="1"/>
  <c r="J20" i="4" s="1"/>
  <c r="I18" i="5"/>
  <c r="J75" i="7" l="1"/>
  <c r="J21" i="4" s="1"/>
  <c r="J76" i="7"/>
  <c r="J27" i="6" s="1"/>
  <c r="I19" i="5"/>
  <c r="I44" i="10"/>
  <c r="H45" i="10"/>
  <c r="J8" i="6"/>
  <c r="J20" i="6"/>
  <c r="J21" i="6" s="1"/>
  <c r="J24" i="4"/>
  <c r="I38" i="10"/>
  <c r="H39" i="10"/>
  <c r="I95" i="7"/>
  <c r="Q11" i="13"/>
  <c r="I33" i="5"/>
  <c r="I34" i="5" s="1"/>
  <c r="I94" i="7"/>
  <c r="H36" i="10"/>
  <c r="I35" i="10"/>
  <c r="H42" i="10"/>
  <c r="I41" i="10"/>
  <c r="I32" i="10"/>
  <c r="H33" i="10"/>
  <c r="O14" i="13"/>
  <c r="L32" i="9"/>
  <c r="C50" i="9" s="1"/>
  <c r="C22" i="10"/>
  <c r="G25" i="10"/>
  <c r="G23" i="10"/>
  <c r="F24" i="10"/>
  <c r="D25" i="10"/>
  <c r="F22" i="10"/>
  <c r="E21" i="10"/>
  <c r="F23" i="10"/>
  <c r="G21" i="10"/>
  <c r="C23" i="10"/>
  <c r="E22" i="10"/>
  <c r="C21" i="10"/>
  <c r="D22" i="10"/>
  <c r="C25" i="10"/>
  <c r="D21" i="10"/>
  <c r="E24" i="10"/>
  <c r="F25" i="10"/>
  <c r="D24" i="10"/>
  <c r="G24" i="10"/>
  <c r="E25" i="10"/>
  <c r="F21" i="10"/>
  <c r="D23" i="10"/>
  <c r="G22" i="10"/>
  <c r="E23" i="10"/>
  <c r="C24" i="10"/>
  <c r="H39" i="9"/>
  <c r="H42" i="9" s="1"/>
  <c r="I37" i="9"/>
  <c r="J27" i="4" l="1"/>
  <c r="J5" i="6"/>
  <c r="J9" i="6" s="1"/>
  <c r="J25" i="4"/>
  <c r="I42" i="10"/>
  <c r="J41" i="10"/>
  <c r="I36" i="10"/>
  <c r="J35" i="10"/>
  <c r="J44" i="10"/>
  <c r="I45" i="10"/>
  <c r="J38" i="10"/>
  <c r="I39" i="10"/>
  <c r="I36" i="5"/>
  <c r="I5" i="12" s="1"/>
  <c r="I22" i="8"/>
  <c r="I21" i="8"/>
  <c r="I9" i="8"/>
  <c r="I39" i="9"/>
  <c r="I42" i="9" s="1"/>
  <c r="J37" i="9"/>
  <c r="W11" i="13"/>
  <c r="I34" i="2"/>
  <c r="I33" i="8"/>
  <c r="J32" i="10"/>
  <c r="I33" i="10"/>
  <c r="J21" i="12"/>
  <c r="J31" i="8"/>
  <c r="J7" i="6"/>
  <c r="J97" i="7"/>
  <c r="J32" i="8" s="1"/>
  <c r="C71" i="9"/>
  <c r="C72" i="9" s="1"/>
  <c r="C73" i="9" s="1"/>
  <c r="C84" i="9"/>
  <c r="T11" i="13"/>
  <c r="I27" i="8"/>
  <c r="I31" i="2"/>
  <c r="I96" i="7"/>
  <c r="K44" i="10" l="1"/>
  <c r="J45" i="10"/>
  <c r="J36" i="10"/>
  <c r="K35" i="10"/>
  <c r="I23" i="8"/>
  <c r="K89" i="7"/>
  <c r="K25" i="6" s="1"/>
  <c r="F12" i="13"/>
  <c r="J6" i="8"/>
  <c r="J31" i="4"/>
  <c r="J28" i="4"/>
  <c r="J25" i="2"/>
  <c r="J88" i="7"/>
  <c r="J90" i="7" s="1"/>
  <c r="J33" i="10"/>
  <c r="K32" i="10"/>
  <c r="J39" i="9"/>
  <c r="J42" i="9" s="1"/>
  <c r="K37" i="9"/>
  <c r="J42" i="10"/>
  <c r="K41" i="10"/>
  <c r="K38" i="10"/>
  <c r="J39" i="10"/>
  <c r="C74" i="9"/>
  <c r="F17" i="11"/>
  <c r="C11" i="2"/>
  <c r="C28" i="12"/>
  <c r="M28" i="12" s="1"/>
  <c r="I29" i="8"/>
  <c r="I32" i="2"/>
  <c r="J16" i="6"/>
  <c r="J17" i="6" s="1"/>
  <c r="J26" i="4"/>
  <c r="L12" i="13" l="1"/>
  <c r="J37" i="6"/>
  <c r="J28" i="2"/>
  <c r="J98" i="7"/>
  <c r="J7" i="8"/>
  <c r="J59" i="7"/>
  <c r="J61" i="7" s="1"/>
  <c r="L38" i="10"/>
  <c r="K39" i="10"/>
  <c r="K33" i="10"/>
  <c r="L32" i="10"/>
  <c r="K42" i="10"/>
  <c r="L41" i="10"/>
  <c r="L37" i="9"/>
  <c r="K39" i="9"/>
  <c r="K42" i="9" s="1"/>
  <c r="L35" i="10"/>
  <c r="K36" i="10"/>
  <c r="J23" i="5"/>
  <c r="J24" i="5" s="1"/>
  <c r="K87" i="7"/>
  <c r="L44" i="10"/>
  <c r="K45" i="10"/>
  <c r="F19" i="11"/>
  <c r="C12" i="2"/>
  <c r="K12" i="13"/>
  <c r="J20" i="8"/>
  <c r="J26" i="2"/>
  <c r="G12" i="13"/>
  <c r="J27" i="2"/>
  <c r="J93" i="7" l="1"/>
  <c r="L39" i="10"/>
  <c r="C39" i="10"/>
  <c r="J11" i="8"/>
  <c r="J10" i="8"/>
  <c r="J14" i="12"/>
  <c r="L33" i="10"/>
  <c r="C33" i="10"/>
  <c r="C36" i="10"/>
  <c r="L36" i="10"/>
  <c r="L42" i="10"/>
  <c r="C42" i="10"/>
  <c r="N12" i="13"/>
  <c r="J39" i="8"/>
  <c r="J38" i="6"/>
  <c r="J30" i="2"/>
  <c r="J24" i="6"/>
  <c r="J29" i="6" s="1"/>
  <c r="J31" i="6" s="1"/>
  <c r="J34" i="6" s="1"/>
  <c r="J62" i="7"/>
  <c r="C47" i="9"/>
  <c r="C48" i="9" s="1"/>
  <c r="C49" i="9" s="1"/>
  <c r="L39" i="9"/>
  <c r="L42" i="9" s="1"/>
  <c r="C51" i="9" s="1"/>
  <c r="C45" i="10"/>
  <c r="L45" i="10"/>
  <c r="J8" i="8"/>
  <c r="J19" i="12" l="1"/>
  <c r="K60" i="7"/>
  <c r="J63" i="7"/>
  <c r="D13" i="10"/>
  <c r="D12" i="10"/>
  <c r="D11" i="10"/>
  <c r="D15" i="10"/>
  <c r="D14" i="10"/>
  <c r="E14" i="10"/>
  <c r="E15" i="10"/>
  <c r="E12" i="10"/>
  <c r="E13" i="10"/>
  <c r="E11" i="10"/>
  <c r="F12" i="10"/>
  <c r="F13" i="10"/>
  <c r="F14" i="10"/>
  <c r="F15" i="10"/>
  <c r="F11" i="10"/>
  <c r="C77" i="9"/>
  <c r="C14" i="2" s="1"/>
  <c r="C14" i="10"/>
  <c r="C13" i="10"/>
  <c r="C12" i="10"/>
  <c r="C15" i="10"/>
  <c r="C11" i="10"/>
  <c r="J17" i="5"/>
  <c r="J35" i="6" s="1"/>
  <c r="J6" i="12" s="1"/>
  <c r="K32" i="6"/>
  <c r="G15" i="10"/>
  <c r="G13" i="10"/>
  <c r="G14" i="10"/>
  <c r="G12" i="10"/>
  <c r="G11" i="10"/>
  <c r="V12" i="13"/>
  <c r="J33" i="2"/>
  <c r="C52" i="9"/>
  <c r="P12" i="13" l="1"/>
  <c r="J18" i="12"/>
  <c r="K82" i="7"/>
  <c r="K83" i="7" s="1"/>
  <c r="K20" i="4" s="1"/>
  <c r="J18" i="5"/>
  <c r="J26" i="8"/>
  <c r="K73" i="7"/>
  <c r="J25" i="5"/>
  <c r="J16" i="12"/>
  <c r="C78" i="9"/>
  <c r="C60" i="9"/>
  <c r="F15" i="11"/>
  <c r="C80" i="9"/>
  <c r="C13" i="2"/>
  <c r="K76" i="7" l="1"/>
  <c r="K27" i="6" s="1"/>
  <c r="K75" i="7"/>
  <c r="K21" i="4" s="1"/>
  <c r="K8" i="6"/>
  <c r="K20" i="6"/>
  <c r="K21" i="6" s="1"/>
  <c r="K24" i="4"/>
  <c r="Q12" i="13"/>
  <c r="J95" i="7"/>
  <c r="J33" i="5"/>
  <c r="J34" i="5" s="1"/>
  <c r="J94" i="7"/>
  <c r="J19" i="5"/>
  <c r="J33" i="8" s="1"/>
  <c r="C29" i="12"/>
  <c r="M29" i="12" s="1"/>
  <c r="C62" i="9"/>
  <c r="W12" i="13" l="1"/>
  <c r="J34" i="2"/>
  <c r="J96" i="7"/>
  <c r="T12" i="13"/>
  <c r="J27" i="8"/>
  <c r="J31" i="2"/>
  <c r="C79" i="9"/>
  <c r="C64" i="9"/>
  <c r="F16" i="11"/>
  <c r="C9" i="2"/>
  <c r="C27" i="12"/>
  <c r="M27" i="12" s="1"/>
  <c r="K21" i="12"/>
  <c r="K31" i="8"/>
  <c r="K7" i="6"/>
  <c r="K97" i="7"/>
  <c r="K32" i="8" s="1"/>
  <c r="J36" i="5"/>
  <c r="J5" i="12" s="1"/>
  <c r="J22" i="8"/>
  <c r="J21" i="8"/>
  <c r="J23" i="8" s="1"/>
  <c r="J9" i="8"/>
  <c r="K5" i="6"/>
  <c r="K9" i="6" s="1"/>
  <c r="K25" i="4"/>
  <c r="K27" i="4"/>
  <c r="F13" i="13" l="1"/>
  <c r="K6" i="8"/>
  <c r="L89" i="7"/>
  <c r="L25" i="6" s="1"/>
  <c r="K28" i="4"/>
  <c r="K88" i="7"/>
  <c r="K90" i="7" s="1"/>
  <c r="K31" i="4"/>
  <c r="K25" i="2"/>
  <c r="K16" i="6"/>
  <c r="K26" i="4"/>
  <c r="K17" i="6"/>
  <c r="F18" i="11"/>
  <c r="C10" i="2"/>
  <c r="J29" i="8"/>
  <c r="J32" i="2"/>
  <c r="G13" i="13" l="1"/>
  <c r="K27" i="2"/>
  <c r="K14" i="12"/>
  <c r="K23" i="5"/>
  <c r="K24" i="5" s="1"/>
  <c r="L87" i="7"/>
  <c r="K7" i="8"/>
  <c r="L13" i="13"/>
  <c r="K37" i="6"/>
  <c r="K28" i="2"/>
  <c r="K98" i="7"/>
  <c r="K59" i="7"/>
  <c r="K61" i="7" s="1"/>
  <c r="K20" i="8"/>
  <c r="K13" i="13"/>
  <c r="K26" i="2"/>
  <c r="K93" i="7" l="1"/>
  <c r="K10" i="8"/>
  <c r="K11" i="8"/>
  <c r="K39" i="8"/>
  <c r="N13" i="13"/>
  <c r="K38" i="6"/>
  <c r="K30" i="2"/>
  <c r="K8" i="8"/>
  <c r="K24" i="6"/>
  <c r="K29" i="6" s="1"/>
  <c r="K31" i="6" s="1"/>
  <c r="K34" i="6" s="1"/>
  <c r="K62" i="7"/>
  <c r="V13" i="13" l="1"/>
  <c r="K33" i="2"/>
  <c r="K19" i="12"/>
  <c r="L60" i="7"/>
  <c r="K63" i="7"/>
  <c r="L32" i="6"/>
  <c r="K17" i="5"/>
  <c r="K35" i="6"/>
  <c r="K6" i="12" s="1"/>
  <c r="K26" i="8" l="1"/>
  <c r="L73" i="7"/>
  <c r="K25" i="5"/>
  <c r="P13" i="13"/>
  <c r="K18" i="12"/>
  <c r="L82" i="7"/>
  <c r="L83" i="7" s="1"/>
  <c r="L20" i="4" s="1"/>
  <c r="K18" i="5"/>
  <c r="L76" i="7" l="1"/>
  <c r="L27" i="6" s="1"/>
  <c r="L75" i="7"/>
  <c r="L21" i="4" s="1"/>
  <c r="L8" i="6"/>
  <c r="L20" i="6"/>
  <c r="L21" i="6" s="1"/>
  <c r="L24" i="4"/>
  <c r="K19" i="5"/>
  <c r="Q13" i="13"/>
  <c r="K95" i="7"/>
  <c r="K33" i="5"/>
  <c r="K34" i="5" s="1"/>
  <c r="K94" i="7"/>
  <c r="K16" i="12"/>
  <c r="W13" i="13" l="1"/>
  <c r="K34" i="2"/>
  <c r="L5" i="6"/>
  <c r="L25" i="4"/>
  <c r="L27" i="4" s="1"/>
  <c r="K33" i="8"/>
  <c r="T13" i="13"/>
  <c r="K96" i="7"/>
  <c r="K27" i="8"/>
  <c r="K31" i="2"/>
  <c r="K36" i="5"/>
  <c r="K5" i="12" s="1"/>
  <c r="K22" i="8"/>
  <c r="K21" i="8"/>
  <c r="K23" i="8" s="1"/>
  <c r="K9" i="8"/>
  <c r="L21" i="12"/>
  <c r="M21" i="12" s="1"/>
  <c r="L31" i="8"/>
  <c r="L7" i="6"/>
  <c r="L97" i="7"/>
  <c r="L32" i="8" s="1"/>
  <c r="F9" i="11" l="1"/>
  <c r="F14" i="13"/>
  <c r="L28" i="4"/>
  <c r="L6" i="8"/>
  <c r="L88" i="7"/>
  <c r="L90" i="7" s="1"/>
  <c r="L31" i="4"/>
  <c r="L25" i="2"/>
  <c r="L16" i="6"/>
  <c r="L26" i="4"/>
  <c r="L9" i="6"/>
  <c r="L17" i="6" s="1"/>
  <c r="K29" i="8"/>
  <c r="K32" i="2"/>
  <c r="F10" i="11" l="1"/>
  <c r="G14" i="13"/>
  <c r="L27" i="2"/>
  <c r="L14" i="13"/>
  <c r="L37" i="6"/>
  <c r="L98" i="7"/>
  <c r="L28" i="2"/>
  <c r="L7" i="8"/>
  <c r="F11" i="11"/>
  <c r="L59" i="7"/>
  <c r="L61" i="7" s="1"/>
  <c r="L23" i="5"/>
  <c r="L24" i="5" s="1"/>
  <c r="K14" i="13"/>
  <c r="L20" i="8"/>
  <c r="L26" i="2"/>
  <c r="L10" i="8" l="1"/>
  <c r="L11" i="8"/>
  <c r="L39" i="8"/>
  <c r="N14" i="13"/>
  <c r="L38" i="6"/>
  <c r="L30" i="2"/>
  <c r="F12" i="11"/>
  <c r="L8" i="8"/>
  <c r="L93" i="7"/>
  <c r="L14" i="12"/>
  <c r="M14" i="12" s="1"/>
  <c r="L24" i="6"/>
  <c r="L29" i="6" s="1"/>
  <c r="L31" i="6" s="1"/>
  <c r="L34" i="6" s="1"/>
  <c r="L62" i="7"/>
  <c r="V14" i="13" l="1"/>
  <c r="L33" i="2"/>
  <c r="L19" i="12"/>
  <c r="M19" i="12" s="1"/>
  <c r="L63" i="7"/>
  <c r="L17" i="5"/>
  <c r="L35" i="6" s="1"/>
  <c r="L6" i="12" s="1"/>
  <c r="M6" i="12" s="1"/>
  <c r="L26" i="8" l="1"/>
  <c r="L25" i="5"/>
  <c r="P14" i="13"/>
  <c r="L18" i="12"/>
  <c r="M18" i="12" s="1"/>
  <c r="L18" i="5"/>
  <c r="Q14" i="13" l="1"/>
  <c r="L95" i="7"/>
  <c r="L33" i="5"/>
  <c r="L34" i="5" s="1"/>
  <c r="L94" i="7"/>
  <c r="L19" i="5"/>
  <c r="L16" i="12"/>
  <c r="M16" i="12" s="1"/>
  <c r="L36" i="5" l="1"/>
  <c r="L5" i="12" s="1"/>
  <c r="M5" i="12" s="1"/>
  <c r="C31" i="12" s="1"/>
  <c r="C32" i="12" s="1"/>
  <c r="L21" i="8"/>
  <c r="L23" i="8" s="1"/>
  <c r="L22" i="8"/>
  <c r="L9" i="8"/>
  <c r="W14" i="13"/>
  <c r="L34" i="2"/>
  <c r="L33" i="8"/>
  <c r="T14" i="13"/>
  <c r="L27" i="8"/>
  <c r="F13" i="11"/>
  <c r="L96" i="7"/>
  <c r="L31" i="2"/>
  <c r="L29" i="8" l="1"/>
  <c r="L32" i="2"/>
  <c r="C5" i="2"/>
  <c r="C11" i="1"/>
</calcChain>
</file>

<file path=xl/sharedStrings.xml><?xml version="1.0" encoding="utf-8"?>
<sst xmlns="http://schemas.openxmlformats.org/spreadsheetml/2006/main" count="1036" uniqueCount="632">
  <si>
    <t>TITAN COMPANY LIMITED</t>
  </si>
  <si>
    <t>Institutional Financial Statement &amp; Valuation Model | Ind AS Architecture</t>
  </si>
  <si>
    <t>Filing Basis</t>
  </si>
  <si>
    <t>Consolidated Financial Statements | Fiscal Year Ending 31 March</t>
  </si>
  <si>
    <t>Reporting Currency</t>
  </si>
  <si>
    <t>Indian Rupees (INR) in Crore</t>
  </si>
  <si>
    <t>Historical Horizon</t>
  </si>
  <si>
    <t>FY 2021-22A to FY 2025-26A (Audited Annual Reports)</t>
  </si>
  <si>
    <t>Forecast Horizon</t>
  </si>
  <si>
    <t>FY 2026-27E to FY 2030-31E (Driver-Based Projections)</t>
  </si>
  <si>
    <t>Fade Horizon</t>
  </si>
  <si>
    <t>FY 2031-32E to FY 2035-36E (5-Year Value-Driver Fade Period in DCF)</t>
  </si>
  <si>
    <t>Active Scenario</t>
  </si>
  <si>
    <t>Workbook Audit Status</t>
  </si>
  <si>
    <t>Valuation Methodology</t>
  </si>
  <si>
    <t>Unlevered DCF (WACC, CAPM, Gordon Growth &amp; Exit EV/EBITDA Multiples)</t>
  </si>
  <si>
    <t>WORKBOOK STRUCTURE &amp; NAVIGATION</t>
  </si>
  <si>
    <t>Summary</t>
  </si>
  <si>
    <t>Executive dashboard, valuation summary, key credit metrics, and visual charts</t>
  </si>
  <si>
    <t>Inputs</t>
  </si>
  <si>
    <t>Assumption drivers, scenario selector (Bear/Base/Bull), WACC and valuation parameters</t>
  </si>
  <si>
    <t>IS</t>
  </si>
  <si>
    <t>Consolidated Statement of Profit and Loss (audited historicals and projected drivers)</t>
  </si>
  <si>
    <t>BS</t>
  </si>
  <si>
    <t>Consolidated Balance Sheet (self-balancing, zero artificial plug, cash sweep)</t>
  </si>
  <si>
    <t>CF</t>
  </si>
  <si>
    <t>Consolidated Statement of Cash Flows (Ind AS indirect method with Ind AS 116 retail leases)</t>
  </si>
  <si>
    <t>Schedules</t>
  </si>
  <si>
    <t>Supporting schedules: Working Capital, Capex/FA, Debt Revolver, Leases, Equity, Ratios</t>
  </si>
  <si>
    <t>Earnings_Quality</t>
  </si>
  <si>
    <t>Forensic accounting suite: Sloan accruals, DuPont 3-stage, CCC, Altman Z''-score</t>
  </si>
  <si>
    <t>DCF</t>
  </si>
  <si>
    <t>Discounted Cash Flow: 10-year UFCF, CAPM WACC, terminal value, equity bridge</t>
  </si>
  <si>
    <t>Sensitivity</t>
  </si>
  <si>
    <t>2D live formula sensitivity tables: WACC vs Terminal Growth g, WACC vs Exit Multiple</t>
  </si>
  <si>
    <t>Scenarios</t>
  </si>
  <si>
    <t>Scenario comparative matrix (Bear vs Base vs Bull)</t>
  </si>
  <si>
    <t>Checks</t>
  </si>
  <si>
    <t>Automated system audit suite testing internal mathematical identities</t>
  </si>
  <si>
    <t>PowerBI_Export</t>
  </si>
  <si>
    <t>Flat unpivoted dataset with standardized headers for Power BI / Python ingest</t>
  </si>
  <si>
    <t>Hist_Data</t>
  </si>
  <si>
    <t>Audited source numbers extracted directly from statutory filings</t>
  </si>
  <si>
    <t>Notes</t>
  </si>
  <si>
    <t>Detailed documentation of methodology, calibration notes, and Ind AS accounting policies</t>
  </si>
  <si>
    <t>TITAN COMPANY LIMITED: EXECUTIVE VALUATION DASHBOARD</t>
  </si>
  <si>
    <t>Integrated Financial Model | FY22A-FY26A Audited Actuals, FY27E-FY31E Projections | INR Crore</t>
  </si>
  <si>
    <t>Active Model Scenario</t>
  </si>
  <si>
    <t>Model Methodology &amp; Principles</t>
  </si>
  <si>
    <t>Workbook Integrity Status</t>
  </si>
  <si>
    <t>Operating EBITDA/EBIT strictly exclude non-operating treasury income. Net Debt incorporates Gold on Loan and Ind AS 116 Leases.</t>
  </si>
  <si>
    <t>Current Market Price (CMP, INR)</t>
  </si>
  <si>
    <t>Weighted Average Cost of Capital (WACC)</t>
  </si>
  <si>
    <t>Perpetual Terminal Growth Rate (g)</t>
  </si>
  <si>
    <t>DCF Target Value per Share (Gordon Growth, INR)</t>
  </si>
  <si>
    <t xml:space="preserve">   Gordon Growth DCF Upside / (Downside)</t>
  </si>
  <si>
    <t>Target Value per Share (Exit Multiple, INR)</t>
  </si>
  <si>
    <t xml:space="preserve">   Exit Multiple Upside / (Downside)</t>
  </si>
  <si>
    <t>Enterprise Value (Gordon Growth, INR cr)</t>
  </si>
  <si>
    <t>PV of Terminal Value % Enterprise Value</t>
  </si>
  <si>
    <t>KPI Overview (INR crore unless stated)</t>
  </si>
  <si>
    <t>Unit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</si>
  <si>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</si>
  <si>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</si>
  <si>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</si>
  <si>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</si>
  <si>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</si>
  <si>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</si>
  <si>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</si>
  <si>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</si>
  <si>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</si>
  <si>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FY31E</t>
  </si>
  <si>
    <t>Revenue from operations</t>
  </si>
  <si>
    <t>cr</t>
  </si>
  <si>
    <t xml:space="preserve">  y/y revenue growth rate</t>
  </si>
  <si>
    <t>%</t>
  </si>
  <si>
    <t>Gross margin</t>
  </si>
  <si>
    <t>Operating EBITDA</t>
  </si>
  <si>
    <t xml:space="preserve">  EBITDA margin</t>
  </si>
  <si>
    <t>Operating EBIT</t>
  </si>
  <si>
    <t xml:space="preserve">  EBIT margin</t>
  </si>
  <si>
    <t>Profit After Tax (PAT)</t>
  </si>
  <si>
    <t xml:space="preserve">  PAT margin</t>
  </si>
  <si>
    <t>Basic EPS (INR)</t>
  </si>
  <si>
    <t>INR</t>
  </si>
  <si>
    <t>Cash flow from operations (CFO)</t>
  </si>
  <si>
    <t>Capital expenditures</t>
  </si>
  <si>
    <t>Free Cash Flow (FCF)</t>
  </si>
  <si>
    <t>Net debt (incl. GoL &amp; Leases)</t>
  </si>
  <si>
    <t>Net debt / EBITDA</t>
  </si>
  <si>
    <t>x</t>
  </si>
  <si>
    <t>Return on Equity (ROE)</t>
  </si>
  <si>
    <t>Return on Invested Capital (ROIC)</t>
  </si>
  <si>
    <t>Days Inventory Outstanding (DIO)</t>
  </si>
  <si>
    <t>days</t>
  </si>
  <si>
    <t>ASSUMPTIONS &amp; DYNAMIC SCENARIO CONTROL</t>
  </si>
  <si>
    <t>Institutional driver console. Blue = input | Black = formula | Green = link. Yellow fill = key decision cell.</t>
  </si>
  <si>
    <t>1. GLOBAL CONTROLS &amp; SCENARIO SWITCHES</t>
  </si>
  <si>
    <t>Active Scenario Selector (1 = Bear, 2 = Base, 3 = Bull)</t>
  </si>
  <si>
    <t>Active Scenario Label</t>
  </si>
  <si>
    <t>Gold-on-Loan Accounting Mode (1 = Operating, 2 = Debt-like)</t>
  </si>
  <si>
    <t>Valuation Date (Audited Balance Sheet Cutoff)</t>
  </si>
  <si>
    <t>31-Mar-2026</t>
  </si>
  <si>
    <t>Current Market Price (INR per share)</t>
  </si>
  <si>
    <t>NSE Closing Price as of Sep-2026 (Kotak Neo/NSE)</t>
  </si>
  <si>
    <t>Diluted Shares Outstanding (crore)</t>
  </si>
  <si>
    <t>2. VALUATION &amp; CAPITAL STRUCTURE ASSUMPTIONS</t>
  </si>
  <si>
    <t>Risk-free rate (10-year Indian G-Sec)</t>
  </si>
  <si>
    <t>Equity risk premium (ERP)</t>
  </si>
  <si>
    <t>Equity beta</t>
  </si>
  <si>
    <t>Pre-tax marginal cost of debt (Kd)</t>
  </si>
  <si>
    <t>Target debt ratio (D / (D + E))</t>
  </si>
  <si>
    <t>Terminal growth rate (nominal, INR)</t>
  </si>
  <si>
    <t>Terminal Return on New Invested Capital (RONIC)</t>
  </si>
  <si>
    <t>Exit EV/EBITDA Multiple Cross-Check</t>
  </si>
  <si>
    <t>Bear</t>
  </si>
  <si>
    <t>Base</t>
  </si>
  <si>
    <t>Bull</t>
  </si>
  <si>
    <t>Active Live</t>
  </si>
  <si>
    <t>Terminal EV / EBITDA Exit Multiple</t>
  </si>
  <si>
    <t>3. OPERATIONAL SCENARIOS (FY27E - FY31E)</t>
  </si>
  <si>
    <t>Driver | Historical vs Projections</t>
  </si>
  <si>
    <t>Revenue growth (y/y) - ACTIVE</t>
  </si>
  <si>
    <t xml:space="preserve">    [Bear]</t>
  </si>
  <si>
    <t xml:space="preserve">    [Base]</t>
  </si>
  <si>
    <t xml:space="preserve">    [Bull]</t>
  </si>
  <si>
    <t>Gross margin (revenue less materials, purchases, inventory change) - ACTIVE</t>
  </si>
  <si>
    <t>Employee cost % revenue - ACTIVE</t>
  </si>
  <si>
    <t>Other expenses % revenue - ACTIVE</t>
  </si>
  <si>
    <t>Capex % revenue (PP&amp;E + intangibles) - ACTIVE</t>
  </si>
  <si>
    <t>Inventory days (on COGS) - ACTIVE</t>
  </si>
  <si>
    <t>Payable days (on COGS) - ACTIVE</t>
  </si>
  <si>
    <t>Gold on loan % of inventories - ACTIVE</t>
  </si>
  <si>
    <t>Interest rate on borrowings (on opening balance) - ACTIVE</t>
  </si>
  <si>
    <t>4. COMMON OPERATIONAL DRIVERS (IDENTICAL ACROSS SCENARIOS)</t>
  </si>
  <si>
    <t>Receivable days (on revenue)</t>
  </si>
  <si>
    <t>Other current assets % revenue</t>
  </si>
  <si>
    <t>Other current liabilities % revenue</t>
  </si>
  <si>
    <t>Other financial liabilities % revenue</t>
  </si>
  <si>
    <t>Provisions % revenue</t>
  </si>
  <si>
    <t>Treasury investments &amp; bank balances % revenue</t>
  </si>
  <si>
    <t>Minimum operating cash % revenue (revolver trigger)</t>
  </si>
  <si>
    <t>Effective tax rate</t>
  </si>
  <si>
    <t>Dividend paid % prior-year PAT</t>
  </si>
  <si>
    <t>PP&amp;E depreciation % opening PP&amp;E/CWIP/inv. property</t>
  </si>
  <si>
    <t>ROU depreciation % opening ROU assets</t>
  </si>
  <si>
    <t>Intangible amortisation % opening intangibles</t>
  </si>
  <si>
    <t>Share of capex that is intangible</t>
  </si>
  <si>
    <t>New leases (ROU additions) % revenue</t>
  </si>
  <si>
    <t>Lease payments % opening lease liability</t>
  </si>
  <si>
    <t>Lease interest rate (on opening balance)</t>
  </si>
  <si>
    <t>Gold-on-loan interest rate (on opening balance)</t>
  </si>
  <si>
    <t>Other income yield on opening cash + treasury + NC investments</t>
  </si>
  <si>
    <t>Scheduled repayment of long-term borrowings (INR cr)</t>
  </si>
  <si>
    <t>CONSOLIDATED STATEMENT OF PROFIT &amp; LOSS</t>
  </si>
  <si>
    <t>Historical audited financials (FY22A-FY26A) &amp; driver-based projections (FY27E-FY31E)</t>
  </si>
  <si>
    <t>Line Item (INR crore unless stated)</t>
  </si>
  <si>
    <t>Cost of goods sold (raw material, purchases, inventory change)</t>
  </si>
  <si>
    <t>Gross profit</t>
  </si>
  <si>
    <t xml:space="preserve">  gross margin</t>
  </si>
  <si>
    <t>Employee benefits expense</t>
  </si>
  <si>
    <t xml:space="preserve">  employee cost % revenue</t>
  </si>
  <si>
    <t>Other operating expenses</t>
  </si>
  <si>
    <t xml:space="preserve">  other expenses % revenue</t>
  </si>
  <si>
    <t>Operating EBITDA (excl. other income)</t>
  </si>
  <si>
    <t>Depreciation &amp; amortisation</t>
  </si>
  <si>
    <t>Operating EBIT (operating profit)</t>
  </si>
  <si>
    <t>Other income</t>
  </si>
  <si>
    <t>Finance costs</t>
  </si>
  <si>
    <t>Share of profit of associate / JV</t>
  </si>
  <si>
    <t>Exceptional items</t>
  </si>
  <si>
    <t>Profit before tax (PBT)</t>
  </si>
  <si>
    <t>Income tax expense</t>
  </si>
  <si>
    <t xml:space="preserve">  effective tax rate</t>
  </si>
  <si>
    <t>Profit for the year (PAT)</t>
  </si>
  <si>
    <t>Diluted weighted shares (crore)</t>
  </si>
  <si>
    <t>Basic &amp; Diluted EPS (INR)</t>
  </si>
  <si>
    <t>CONSOLIDATED BALANCE SHEET</t>
  </si>
  <si>
    <t>Grouped assets and liabilities; cash flows tie directly to cash balance, zero artificial plug</t>
  </si>
  <si>
    <t>I. ASSETS</t>
  </si>
  <si>
    <t>PP&amp;E, CWIP &amp; Investment property</t>
  </si>
  <si>
    <t>Right-of-use assets (Ind AS 116)</t>
  </si>
  <si>
    <t>Goodwill</t>
  </si>
  <si>
    <t>Other intangible assets</t>
  </si>
  <si>
    <t>Non-current investments</t>
  </si>
  <si>
    <t>Other non-current assets</t>
  </si>
  <si>
    <t>Total non-current assets</t>
  </si>
  <si>
    <t>Inventories</t>
  </si>
  <si>
    <t>Trade receivables</t>
  </si>
  <si>
    <t>Other current assets</t>
  </si>
  <si>
    <t>Treasury investments &amp; bank balances</t>
  </si>
  <si>
    <t>Cash &amp; cash equivalents</t>
  </si>
  <si>
    <t>Total current assets</t>
  </si>
  <si>
    <t>TOTAL ASSETS</t>
  </si>
  <si>
    <t>II. EQUITY &amp; LIABILITIES</t>
  </si>
  <si>
    <t>Equity share capital</t>
  </si>
  <si>
    <t>Other equity (reserves &amp; surplus)</t>
  </si>
  <si>
    <t>Total equity</t>
  </si>
  <si>
    <t>Borrowings (term debt &amp; credit facility)</t>
  </si>
  <si>
    <t>Gold on loan</t>
  </si>
  <si>
    <t>Lease liabilities (non-current + current)</t>
  </si>
  <si>
    <t>Trade payables</t>
  </si>
  <si>
    <t>Other financial liabilities</t>
  </si>
  <si>
    <t>Other current liabilities</t>
  </si>
  <si>
    <t>Provisions (non-current &amp; current)</t>
  </si>
  <si>
    <t>Other liabilities (tax &amp; deferred)</t>
  </si>
  <si>
    <t>Total liabilities</t>
  </si>
  <si>
    <t>TOTAL EQUITY &amp; LIABILITIES</t>
  </si>
  <si>
    <t>Balance check: Assets - Liabilities &amp; Equity (must be 0.00)</t>
  </si>
  <si>
    <t>CONSOLIDATED CASH FLOW STATEMENT</t>
  </si>
  <si>
    <t>Ind AS indirect cash flow statement with explicit Ind AS 116 retail lease &amp; gold-on-loan handling</t>
  </si>
  <si>
    <t>Add: Depreciation &amp; amortisation</t>
  </si>
  <si>
    <t>Add: Finance costs</t>
  </si>
  <si>
    <t>Other non-cash &amp; non-operating adjustments</t>
  </si>
  <si>
    <t>Operating cash profit before working capital changes</t>
  </si>
  <si>
    <t>(Increase) / decrease in trade receivables</t>
  </si>
  <si>
    <t>(Increase) / decrease in inventories</t>
  </si>
  <si>
    <t>(Increase) / decrease in other operating assets</t>
  </si>
  <si>
    <t>Increase / (decrease) in gold on loan</t>
  </si>
  <si>
    <t>Increase / (decrease) in trade payables</t>
  </si>
  <si>
    <t>Increase / (decrease) in other liabilities &amp; provisions</t>
  </si>
  <si>
    <t>Direct taxes paid</t>
  </si>
  <si>
    <t>Capital expenditure (PP&amp;E, CWIP, Intangibles)</t>
  </si>
  <si>
    <t>Other investing cash flows (treasury, yield, acquisitions)</t>
  </si>
  <si>
    <t>Cash flow from investing (CFI)</t>
  </si>
  <si>
    <t>Long-term borrowings proceeds / (repayment)</t>
  </si>
  <si>
    <t>Short-term debt &amp; revolver drawdown / (repayment)</t>
  </si>
  <si>
    <t>Dividends paid</t>
  </si>
  <si>
    <t>Lease liabilities principal &amp; interest repayment</t>
  </si>
  <si>
    <t>Finance costs paid (borrowings &amp; gold on loan)</t>
  </si>
  <si>
    <t>Other financing transactions</t>
  </si>
  <si>
    <t>Cash flow from financing (CFF)</t>
  </si>
  <si>
    <t>Net change in cash &amp; equivalents</t>
  </si>
  <si>
    <t>Opening cash balance</t>
  </si>
  <si>
    <t>Foreign exchange / other adjustments</t>
  </si>
  <si>
    <t>Closing cash balance</t>
  </si>
  <si>
    <t>Check: Closing cash vs Balance Sheet cash (must be 0.00)</t>
  </si>
  <si>
    <t>Free cash flow to firm (CFO + Capex)</t>
  </si>
  <si>
    <t>Free cash flow excluding Gold on Loan movement</t>
  </si>
  <si>
    <t>SUPPORTING OPERATIONAL SCHEDULES</t>
  </si>
  <si>
    <t>Working capital, fixed assets, debt revolver, leases, treasury, equity &amp; operational ratios</t>
  </si>
  <si>
    <t>A. WORKING CAPITAL &amp; GOLD-ON-LOAN SCHEDULE</t>
  </si>
  <si>
    <t>Cost of goods sold</t>
  </si>
  <si>
    <t>Inventory days (on COGS)</t>
  </si>
  <si>
    <t>Receivable days (on Revenue)</t>
  </si>
  <si>
    <t>Payable days (on COGS)</t>
  </si>
  <si>
    <t xml:space="preserve">  Other current assets % revenue</t>
  </si>
  <si>
    <t xml:space="preserve">  Other current liabilities % revenue</t>
  </si>
  <si>
    <t xml:space="preserve">  Other financial liabilities % revenue</t>
  </si>
  <si>
    <t xml:space="preserve">  Provisions % revenue</t>
  </si>
  <si>
    <t>Provisions</t>
  </si>
  <si>
    <t>Gold on loan % of inventories</t>
  </si>
  <si>
    <t>Operating NWC (excluding Gold on Loan)</t>
  </si>
  <si>
    <t>Operating NWC (net of Gold on Loan)</t>
  </si>
  <si>
    <t>Change in NWC (excluding GoL)</t>
  </si>
  <si>
    <t>Change in NWC (net of GoL)</t>
  </si>
  <si>
    <t>B. TANGIBLE, INTANGIBLE &amp; IND AS 116 ROU LEASE SCHEDULE</t>
  </si>
  <si>
    <t>Capex % revenue</t>
  </si>
  <si>
    <t xml:space="preserve">  intangible share of capex</t>
  </si>
  <si>
    <t>Total capex (PP&amp;E + Intangibles)</t>
  </si>
  <si>
    <t xml:space="preserve">  capex - intangibles</t>
  </si>
  <si>
    <t xml:space="preserve">  capex - tangible PP&amp;E</t>
  </si>
  <si>
    <t>PP&amp;E depreciation % opening balance</t>
  </si>
  <si>
    <t>PP&amp;E: Opening balance</t>
  </si>
  <si>
    <t xml:space="preserve">  + PP&amp;E additions</t>
  </si>
  <si>
    <t xml:space="preserve">  - depreciation expense</t>
  </si>
  <si>
    <t>PP&amp;E: Closing balance</t>
  </si>
  <si>
    <t>ROU new lease additions % revenue</t>
  </si>
  <si>
    <t>ROU depreciation % opening balance</t>
  </si>
  <si>
    <t>ROU Assets: Opening balance</t>
  </si>
  <si>
    <t xml:space="preserve">  + new leases entered (non-cash)</t>
  </si>
  <si>
    <t xml:space="preserve">  - ROU depreciation expense</t>
  </si>
  <si>
    <t>ROU Assets: Closing balance</t>
  </si>
  <si>
    <t>Intangible amortisation % opening balance</t>
  </si>
  <si>
    <t>Intangibles: Opening balance</t>
  </si>
  <si>
    <t xml:space="preserve">  + intangible additions</t>
  </si>
  <si>
    <t xml:space="preserve">  - amortisation expense</t>
  </si>
  <si>
    <t>Intangibles: Closing balance</t>
  </si>
  <si>
    <t>Total Depreciation &amp; Amortisation</t>
  </si>
  <si>
    <t>C. DEBT, REVOLVER, GOLD-ON-LOAN &amp; LEASES (Zero Circularity)</t>
  </si>
  <si>
    <t>Term debt: Opening balance</t>
  </si>
  <si>
    <t xml:space="preserve">  - scheduled term debt repayment</t>
  </si>
  <si>
    <t>Term debt: Closing balance</t>
  </si>
  <si>
    <t>Minimum operating cash % revenue</t>
  </si>
  <si>
    <t>Required minimum cash threshold</t>
  </si>
  <si>
    <t>Operational cash before revolver activity</t>
  </si>
  <si>
    <t>Revolver / Short-term debt: Opening</t>
  </si>
  <si>
    <t xml:space="preserve">  drawdown / (repayment) to hold minimum cash</t>
  </si>
  <si>
    <t>Revolver / Short-term debt: Closing</t>
  </si>
  <si>
    <t>Total Borrowings (Term Debt + Revolver)</t>
  </si>
  <si>
    <t>Lease payments % opening liability</t>
  </si>
  <si>
    <t>Lease liabilities: Opening balance</t>
  </si>
  <si>
    <t xml:space="preserve">  + new lease liabilities entered</t>
  </si>
  <si>
    <t xml:space="preserve">  + interest accretion on leases</t>
  </si>
  <si>
    <t xml:space="preserve">  - lease cash payments</t>
  </si>
  <si>
    <t>Lease liabilities: Closing balance</t>
  </si>
  <si>
    <t>Effective interest rate on borrowings</t>
  </si>
  <si>
    <t>Gold-on-loan interest rate</t>
  </si>
  <si>
    <t>Interest on borrowings</t>
  </si>
  <si>
    <t>Interest on gold on loan</t>
  </si>
  <si>
    <t>Total finance costs (IS)</t>
  </si>
  <si>
    <t>Cash finance costs paid (excl. non-cash lease interest)</t>
  </si>
  <si>
    <t>D. TREASURY INVESTMENTS &amp; OTHER INCOME</t>
  </si>
  <si>
    <t>Treasury investments % revenue</t>
  </si>
  <si>
    <t>Treasury investments &amp; bank deposits</t>
  </si>
  <si>
    <t>Other income portfolio yield</t>
  </si>
  <si>
    <t>Yield portfolio base (Cash + Treasury + NC Inv)</t>
  </si>
  <si>
    <t>E. SHAREHOLDERS' EQUITY ROLL-FORWARD</t>
  </si>
  <si>
    <t>Dividend payout % prior-year PAT</t>
  </si>
  <si>
    <t>Other equity: Opening balance</t>
  </si>
  <si>
    <t xml:space="preserve">  + Profit for the year (PAT)</t>
  </si>
  <si>
    <t xml:space="preserve">  - Dividends paid</t>
  </si>
  <si>
    <t>Other equity: Closing balance</t>
  </si>
  <si>
    <t>F. INTEGRATED CREDIT &amp; OPERATING RATIOS</t>
  </si>
  <si>
    <t>Return on Equity (ROE: PAT / Avg Equity)</t>
  </si>
  <si>
    <t>Net debt (Borrowings + GoL + Leases - Cash - Treasury)</t>
  </si>
  <si>
    <t>Interest coverage (EBIT / Finance costs)</t>
  </si>
  <si>
    <t>Cash conversion ratio (CFO / EBITDA)</t>
  </si>
  <si>
    <t>EARNINGS QUALITY &amp; DUPONT ANALYSIS</t>
  </si>
  <si>
    <t>Forensic accounting audit: Sloan accruals, DuPont 3-stage, cash conversion cycle &amp; Altman Z</t>
  </si>
  <si>
    <t>1. ACCRUAL METRICS &amp; EARNINGS QUALITY AUDIT</t>
  </si>
  <si>
    <t>Reported Profit After Tax (PAT)</t>
  </si>
  <si>
    <t>Cash Flow from Operations (CFO)</t>
  </si>
  <si>
    <t>Total Accounting Accruals (PAT - CFO)</t>
  </si>
  <si>
    <t>Sloan Accrual Ratio ((PAT - CFO) / Avg Total Assets)</t>
  </si>
  <si>
    <t>Cash Generation Ratio (CFO / PAT &gt; 1.0x indicates healthy quality)</t>
  </si>
  <si>
    <t>Operating Cash Conversion (CFO / EBITDA)</t>
  </si>
  <si>
    <t>2. WORKING CAPITAL EFFICIENCY &amp; CASH CONVERSION CYCLE</t>
  </si>
  <si>
    <t>Days Sales Outstanding (DSO)</t>
  </si>
  <si>
    <t>Days Payables Outstanding (DPO)</t>
  </si>
  <si>
    <t>Net Cash Conversion Cycle (DIO + DSO - DPO)</t>
  </si>
  <si>
    <t>3. DUPONT 3-STAGE ROE DECOMPOSITION</t>
  </si>
  <si>
    <t>Net Profit Margin (PAT / Revenue)</t>
  </si>
  <si>
    <t>Asset Turnover (Revenue / Avg Total Assets)</t>
  </si>
  <si>
    <t>Financial Leverage Multiplier (Avg Total Assets / Avg Equity)</t>
  </si>
  <si>
    <t>Decomposed ROE (Margin x Turnover x Leverage)</t>
  </si>
  <si>
    <t>4. BALANCE SHEET RESILIENCE &amp; SOLVENCY METRICS</t>
  </si>
  <si>
    <t>Total Borrowings (Excl. Leases)</t>
  </si>
  <si>
    <t>Net Debt (incl. GoL &amp; Leases)</t>
  </si>
  <si>
    <t>EBITDA</t>
  </si>
  <si>
    <t>Net Debt / EBITDA</t>
  </si>
  <si>
    <t>Finance Costs</t>
  </si>
  <si>
    <t>Interest Coverage (EBIT / Finance costs)</t>
  </si>
  <si>
    <t>Altman Z''-Score Proxy (Emerging Markets)</t>
  </si>
  <si>
    <t>pts</t>
  </si>
  <si>
    <t>5. CAPITAL ALLOCATION &amp; REINVESTMENT EFFICIENCY</t>
  </si>
  <si>
    <t>Total Capital Expenditure</t>
  </si>
  <si>
    <t>Depreciation &amp; Amortisation</t>
  </si>
  <si>
    <t>Capex / Depreciation (Capacity Expansion Multiple)</t>
  </si>
  <si>
    <t>Free Cash Flow to Firm (CFO - Capex)</t>
  </si>
  <si>
    <t>DISCOUNTED CASH FLOW (DCF) VALUATION ENGINE</t>
  </si>
  <si>
    <t>10-Year Integrated Framework: 5-Year Explicit Forecast + 5-Year Value-Driver Fade + Dual Terminal Value Approaches</t>
  </si>
  <si>
    <t>1. WEIGHTED AVERAGE COST OF CAPITAL (WACC)</t>
  </si>
  <si>
    <t>Risk-free rate (10Y G-Sec)</t>
  </si>
  <si>
    <t>Equity risk premium</t>
  </si>
  <si>
    <t>Cost of equity (CAPM: Rf + Beta * ERP)</t>
  </si>
  <si>
    <t>Pre-tax marginal cost of debt</t>
  </si>
  <si>
    <t>Marginal corporate tax rate</t>
  </si>
  <si>
    <t>After-tax cost of debt (Kd * (1 - t))</t>
  </si>
  <si>
    <t>Debt capital weighting (D / (D + E))</t>
  </si>
  <si>
    <t>Equity capital weighting (E / (D + E))</t>
  </si>
  <si>
    <t>2. UNLEVERED FREE CASH FLOW (UFCF) - 5-YEAR EXPLICIT FORECAST</t>
  </si>
  <si>
    <t>Less: Gold-on-loan financing cost (deducted only if operating)</t>
  </si>
  <si>
    <t>Adjusted Operating EBIT</t>
  </si>
  <si>
    <t>Taxes on Adjusted EBIT (EBIT * t)</t>
  </si>
  <si>
    <t>Net Operating Profit After Tax (NOPAT)</t>
  </si>
  <si>
    <t>Less: Capital expenditure</t>
  </si>
  <si>
    <t>Less: Ind AS 116 ROU new lease additions</t>
  </si>
  <si>
    <t>Less: Change in Net Working Capital</t>
  </si>
  <si>
    <t>Unlevered Free Cash Flow (UFCF)</t>
  </si>
  <si>
    <t>Discount period (years)</t>
  </si>
  <si>
    <t>Discount factor</t>
  </si>
  <si>
    <t>Present Value of UFCF</t>
  </si>
  <si>
    <t>3. FADE PERIOD UFCF - VALUE-DRIVER FADE (Reinvestment = g / RONIC)</t>
  </si>
  <si>
    <t>FY32E</t>
  </si>
  <si>
    <t>FY33E</t>
  </si>
  <si>
    <t>FY34E</t>
  </si>
  <si>
    <t>FY35E</t>
  </si>
  <si>
    <t>FY36E</t>
  </si>
  <si>
    <t>Fade period year index</t>
  </si>
  <si>
    <t>NOPAT growth rate (fades to terminal g)</t>
  </si>
  <si>
    <t>Projected NOPAT</t>
  </si>
  <si>
    <t>Reinvestment rate (g / RONIC)</t>
  </si>
  <si>
    <t>Fade period Unlevered FCF</t>
  </si>
  <si>
    <t>Discount period (cumulative years)</t>
  </si>
  <si>
    <t>Present Value of fade FCF</t>
  </si>
  <si>
    <t>4. ENTERPRISE VALUE, EQUITY BRIDGE &amp; GORDON GROWTH VALUE PER SHARE</t>
  </si>
  <si>
    <t>Terminal perpetual growth rate (g)</t>
  </si>
  <si>
    <t>Terminal RONIC</t>
  </si>
  <si>
    <t>Terminal year normalized NOPAT (FY37E)</t>
  </si>
  <si>
    <t>Terminal Value at FY36E (Gordon Growth)</t>
  </si>
  <si>
    <t>Present Value of Terminal Value</t>
  </si>
  <si>
    <t>Cumulative PV of 5-year explicit cash flows</t>
  </si>
  <si>
    <t>Cumulative PV of 5-year fade cash flows</t>
  </si>
  <si>
    <t>Enterprise Value (Gordon Growth)</t>
  </si>
  <si>
    <t>Add: Cash &amp; cash equivalents (FY26A)</t>
  </si>
  <si>
    <t>Add: Treasury investments &amp; deposits (FY26A)</t>
  </si>
  <si>
    <t>Add: Non-current investments at book (FY26A)</t>
  </si>
  <si>
    <t>Less: Total borrowings (FY26A)</t>
  </si>
  <si>
    <t>Less: Lease liabilities (FY26A)</t>
  </si>
  <si>
    <t>Less: Gold on loan (deducted if debt-like)</t>
  </si>
  <si>
    <t>Less: Non-controlling interest (FY26A)</t>
  </si>
  <si>
    <t>Equity Value (Gordon Growth)</t>
  </si>
  <si>
    <t>Diluted shares outstanding (crore)</t>
  </si>
  <si>
    <t>Intrinsic Value per Share (Gordon Growth, INR)</t>
  </si>
  <si>
    <t>DCF Upside / (Downside) vs Market</t>
  </si>
  <si>
    <t>5. EXIT MULTIPLE CROSS-CHECK (5-Year Explicit Horizon)</t>
  </si>
  <si>
    <t>Exit EV / EBITDA Multiple (FY31E)</t>
  </si>
  <si>
    <t>FY31E Operating EBITDA</t>
  </si>
  <si>
    <t>Terminal Value at FY31E (Exit Multiple)</t>
  </si>
  <si>
    <t>Present Value of Exit TV</t>
  </si>
  <si>
    <t>Enterprise Value (Exit Multiple)</t>
  </si>
  <si>
    <t>Equity Value (Exit Multiple)</t>
  </si>
  <si>
    <t>Value per Share (Exit Multiple, INR)</t>
  </si>
  <si>
    <t>Multiple Upside / (Downside) vs Market</t>
  </si>
  <si>
    <t>6. VALUATION DIAGNOSTICS &amp; REVERSE DCF</t>
  </si>
  <si>
    <t>Implied EV / FY27E EBITDA</t>
  </si>
  <si>
    <t>Implied P/E on FY27E EPS</t>
  </si>
  <si>
    <t>Implied EV / FY27E Revenue</t>
  </si>
  <si>
    <t>Net Bridge Items (Cash less Debt/Leases)</t>
  </si>
  <si>
    <t>Current Market Enterprise Value</t>
  </si>
  <si>
    <t>Market-Implied EV / FY27E EBITDA</t>
  </si>
  <si>
    <t>Reverse DCF: FY31E Exit Multiple implied by CMP</t>
  </si>
  <si>
    <t>VALUATION SENSITIVITY GRIDS (LIVE 2D MATRICES)</t>
  </si>
  <si>
    <t>Native formulas without Excel data tables. Center cells tie directly to the DCF sheet.</t>
  </si>
  <si>
    <t>WACC Step Increments</t>
  </si>
  <si>
    <t>Terminal Growth Step</t>
  </si>
  <si>
    <t>Exit Multiple Step</t>
  </si>
  <si>
    <t>A. Gordon Growth Value per Share (INR): WACC (down) vs Terminal Growth g (across)</t>
  </si>
  <si>
    <t>Offset from Center -&gt;</t>
  </si>
  <si>
    <t>WACC \ g</t>
  </si>
  <si>
    <t>WACC Offset (rows) -&gt;</t>
  </si>
  <si>
    <t>B. Exit Multiple Value per Share (INR): WACC (down) vs FY31E EV/EBITDA (across)</t>
  </si>
  <si>
    <t>WACC \ Mult</t>
  </si>
  <si>
    <t>Market Reference Price (CMP, INR)</t>
  </si>
  <si>
    <t>CALCULATION ENGINE: Fade Period Cash Flows for Terminal Growth Variations</t>
  </si>
  <si>
    <t>Terminal Cash Flow</t>
  </si>
  <si>
    <t xml:space="preserve">   NOPAT</t>
  </si>
  <si>
    <t xml:space="preserve">   Unlevered Free Cash Flow</t>
  </si>
  <si>
    <t>SCENARIO OUTPUT COMPARISON (BEAR / BASE / BULL)</t>
  </si>
  <si>
    <t>Real-time scenario engine summary. Columns update dynamically based on model runs.</t>
  </si>
  <si>
    <t>Metric</t>
  </si>
  <si>
    <t>Bear Case</t>
  </si>
  <si>
    <t>Base Case</t>
  </si>
  <si>
    <t>Bull Case</t>
  </si>
  <si>
    <t>Active Live Model</t>
  </si>
  <si>
    <t>FY31E Revenue</t>
  </si>
  <si>
    <t>INR cr</t>
  </si>
  <si>
    <t>FY26A-FY31E Revenue CAGR</t>
  </si>
  <si>
    <t>FY31E EBITDA Margin</t>
  </si>
  <si>
    <t>FY31E EBIT Margin</t>
  </si>
  <si>
    <t>FY31E Profit After Tax</t>
  </si>
  <si>
    <t>FY31E Basic EPS</t>
  </si>
  <si>
    <t>Cumulative CFO (FY27E-FY31E)</t>
  </si>
  <si>
    <t>Cumulative Free Cash Flow (FY27E-FY31E)</t>
  </si>
  <si>
    <t>FY31E Net Debt (incl. GoL &amp; Leases)</t>
  </si>
  <si>
    <t>Cost of Capital (WACC)</t>
  </si>
  <si>
    <t>Intrinsic Value per Share (Gordon)</t>
  </si>
  <si>
    <t>Intrinsic Value per Share (Exit Multiple)</t>
  </si>
  <si>
    <t>Exit Multiple Upside vs Market</t>
  </si>
  <si>
    <t>MODEL AUDIT, BALANCE &amp; INTEGRITY TESTS</t>
  </si>
  <si>
    <t>Institutional Self-Testing Suite. Absolute variance shown (zero = pass). Conditional formatting flags errors.</t>
  </si>
  <si>
    <t>Audit Check Description</t>
  </si>
  <si>
    <t>Tolerance</t>
  </si>
  <si>
    <t>Audit Result</t>
  </si>
  <si>
    <t>Balance Sheet Balances: Assets - Liabilities &amp; Equity = 0</t>
  </si>
  <si>
    <t>Cash Flow Closing Cash = Balance Sheet Cash</t>
  </si>
  <si>
    <t>Historical IS PAT = Reported Statutory PAT</t>
  </si>
  <si>
    <t>Historical IS PBT = Reported Statutory PBT</t>
  </si>
  <si>
    <t>Historical BS Assets = Reported Statutory Assets</t>
  </si>
  <si>
    <t>Historical BS Liabilities = Reported Statutory Liabilities</t>
  </si>
  <si>
    <t>Historical CF CFO = Reported Statutory CFO</t>
  </si>
  <si>
    <t>Historical Net Cash Delta = Reported Net Cash Delta</t>
  </si>
  <si>
    <t>PP&amp;E Schedule Closing Balance = Balance Sheet PP&amp;E</t>
  </si>
  <si>
    <t>Equity Schedule Closing Balance = Balance Sheet Other Equity</t>
  </si>
  <si>
    <t>Lease Schedule Closing = Balance Sheet Lease Liabilities</t>
  </si>
  <si>
    <t>Debt Schedule Total = Balance Sheet Borrowings</t>
  </si>
  <si>
    <t>Gold on Loan Schedule = Balance Sheet Gold on Loan</t>
  </si>
  <si>
    <t>Minimum Operational Cash Requirement Maintained</t>
  </si>
  <si>
    <t>Revolver Short-Term Debt Non-Negative</t>
  </si>
  <si>
    <t>Operating EBIT Positive</t>
  </si>
  <si>
    <t>Finance Costs Forecast Sanity (0.5x to 3.0x FY26A)</t>
  </si>
  <si>
    <t>SINGLE-POINT SYSTEM LOGIC CHECKS</t>
  </si>
  <si>
    <t>Scenario Switch Valid (1 = Bear, 2 = Base, 3 = Bull)</t>
  </si>
  <si>
    <t>Gold-on-Loan Switch Valid (1 = Operating, 2 = Debt-like)</t>
  </si>
  <si>
    <t>WACC strictly exceeds Terminal Growth Rate g</t>
  </si>
  <si>
    <t>Sensitivity Grid A Center = Gordon Growth DCF Value</t>
  </si>
  <si>
    <t>Sensitivity Grid B Center = Exit Multiple DCF Value</t>
  </si>
  <si>
    <t>Enterprise Value Bridge Consistency</t>
  </si>
  <si>
    <t>Total Failed Integrity Checks</t>
  </si>
  <si>
    <t>OVERALL WORKBOOK INTEGRITY STATUS</t>
  </si>
  <si>
    <t>FLAT TABULAR EXPORT (POWER BI / PYTHON READY)</t>
  </si>
  <si>
    <t>Clean unpivoted dataset with uniform headers for direct ingestion into Power BI or Python pandas.</t>
  </si>
  <si>
    <t>Fiscal_Year</t>
  </si>
  <si>
    <t>Period_Type</t>
  </si>
  <si>
    <t>Revenue_Cr</t>
  </si>
  <si>
    <t>EBITDA_Cr</t>
  </si>
  <si>
    <t>EBIT_Cr</t>
  </si>
  <si>
    <t>PAT_Cr</t>
  </si>
  <si>
    <t>EPS_INR</t>
  </si>
  <si>
    <t>Gross_Margin</t>
  </si>
  <si>
    <t>EBITDA_Margin</t>
  </si>
  <si>
    <t>EBIT_Margin</t>
  </si>
  <si>
    <t>PAT_Margin</t>
  </si>
  <si>
    <t>CFO_Cr</t>
  </si>
  <si>
    <t>Capex_Cr</t>
  </si>
  <si>
    <t>FCF_Cr</t>
  </si>
  <si>
    <t>UFCF_Cr</t>
  </si>
  <si>
    <t>Cash_Cr</t>
  </si>
  <si>
    <t>Borrowings_Cr</t>
  </si>
  <si>
    <t>Gold_Loan_Cr</t>
  </si>
  <si>
    <t>Lease_Cr</t>
  </si>
  <si>
    <t>Net_Debt_Cr</t>
  </si>
  <si>
    <t>Inventory_Days</t>
  </si>
  <si>
    <t>ROE</t>
  </si>
  <si>
    <t>ROIC</t>
  </si>
  <si>
    <t>Historical</t>
  </si>
  <si>
    <t>Forecast</t>
  </si>
  <si>
    <t>HISTORICAL AUDITED SOURCE DATA (AS REPORTED)</t>
  </si>
  <si>
    <t>Reported numbers verified line-by-line against Titan Company Ltd Annual Reports (FY22 to FY26)</t>
  </si>
  <si>
    <t>Financial Statement Line</t>
  </si>
  <si>
    <t>Statutory Filing Reference</t>
  </si>
  <si>
    <t>I. CONSOLIDATED STATEMENT OF PROFIT &amp; LOSS</t>
  </si>
  <si>
    <t>Audited Consolidated P&amp;L</t>
  </si>
  <si>
    <t>Total income</t>
  </si>
  <si>
    <t>Cost of materials and components consumed</t>
  </si>
  <si>
    <t>Purchase of stock-in-trade</t>
  </si>
  <si>
    <t>Changes in inventories</t>
  </si>
  <si>
    <t>Other expenses</t>
  </si>
  <si>
    <t>Total expenses</t>
  </si>
  <si>
    <t>Profit before share of associate/JV, exceptional item &amp; tax</t>
  </si>
  <si>
    <t>Share of associate/JV</t>
  </si>
  <si>
    <t>Profit before exceptional item &amp; tax</t>
  </si>
  <si>
    <t>Exceptional item</t>
  </si>
  <si>
    <t>Profit before tax</t>
  </si>
  <si>
    <t>Current tax</t>
  </si>
  <si>
    <t>Deferred tax</t>
  </si>
  <si>
    <t>Total tax expense</t>
  </si>
  <si>
    <t>Profit for the year</t>
  </si>
  <si>
    <t>II. CONSOLIDATED BALANCE SHEET</t>
  </si>
  <si>
    <t>PPE</t>
  </si>
  <si>
    <t>Audited Consolidated Balance Sheet</t>
  </si>
  <si>
    <t>Capital work-in-progress</t>
  </si>
  <si>
    <t>Right-of-use assets</t>
  </si>
  <si>
    <t>Investment property</t>
  </si>
  <si>
    <t>Intangible assets under development</t>
  </si>
  <si>
    <t>Investments accounted for using equity method</t>
  </si>
  <si>
    <t>Non-current loans</t>
  </si>
  <si>
    <t>Other non-current financial assets</t>
  </si>
  <si>
    <t>Deferred tax assets</t>
  </si>
  <si>
    <t>Income tax assets</t>
  </si>
  <si>
    <t>Current investments</t>
  </si>
  <si>
    <t>Other bank balances</t>
  </si>
  <si>
    <t>Current loans</t>
  </si>
  <si>
    <t>Other current financial assets</t>
  </si>
  <si>
    <t>Assets held for sale</t>
  </si>
  <si>
    <t>Other equity</t>
  </si>
  <si>
    <t>Non-controlling interest</t>
  </si>
  <si>
    <t>Non-current borrowings</t>
  </si>
  <si>
    <t>Non-current lease liabilities</t>
  </si>
  <si>
    <t>Other non-current financial liabilities</t>
  </si>
  <si>
    <t>Non-current provisions</t>
  </si>
  <si>
    <t>Deferred tax liabilities</t>
  </si>
  <si>
    <t>Other non-current liabilities</t>
  </si>
  <si>
    <t>Current borrowings</t>
  </si>
  <si>
    <t>Current lease liabilities</t>
  </si>
  <si>
    <t>Trade payables - MSME</t>
  </si>
  <si>
    <t>Trade payables - others</t>
  </si>
  <si>
    <t>Other current financial liabilities</t>
  </si>
  <si>
    <t>Current provisions</t>
  </si>
  <si>
    <t>Current tax liabilities</t>
  </si>
  <si>
    <t>Liabilities associated with assets held for sale</t>
  </si>
  <si>
    <t>Total assets</t>
  </si>
  <si>
    <t>Total non-current liabilities</t>
  </si>
  <si>
    <t>Total current liabilities</t>
  </si>
  <si>
    <t>Total equity &amp; liabilities</t>
  </si>
  <si>
    <t>III. CONSOLIDATED CASH FLOW STATEMENT</t>
  </si>
  <si>
    <t>Net profit before tax</t>
  </si>
  <si>
    <t>Audited Consolidated Cash Flow Statement</t>
  </si>
  <si>
    <t>D&amp;A</t>
  </si>
  <si>
    <t>Change in trade receivables</t>
  </si>
  <si>
    <t>Change in inventories</t>
  </si>
  <si>
    <t>Change in financial-assets loans</t>
  </si>
  <si>
    <t>Change in other financial assets</t>
  </si>
  <si>
    <t>Change in other assets</t>
  </si>
  <si>
    <t>Change in gold on loan</t>
  </si>
  <si>
    <t>Change in trade payables</t>
  </si>
  <si>
    <t>Change in other financial liabilities</t>
  </si>
  <si>
    <t>Change in other liabilities</t>
  </si>
  <si>
    <t>Change in provisions</t>
  </si>
  <si>
    <t>CFO</t>
  </si>
  <si>
    <t>Capex / PPE-intangibles-investment property</t>
  </si>
  <si>
    <t>Investing cash flow</t>
  </si>
  <si>
    <t>Financing cash flow</t>
  </si>
  <si>
    <t>Net change in cash</t>
  </si>
  <si>
    <t>Opening cash</t>
  </si>
  <si>
    <t>Closing cash</t>
  </si>
  <si>
    <t>Long-term borrowings proceeds</t>
  </si>
  <si>
    <t>Long-term borrowings repayment</t>
  </si>
  <si>
    <t>Net short-term borrowings proceeds</t>
  </si>
  <si>
    <t>Lease liability payments</t>
  </si>
  <si>
    <t>Finance costs paid</t>
  </si>
  <si>
    <t>IV. STATUTORY NOTES CALIBRATION DATA (FY25-FY26)</t>
  </si>
  <si>
    <t>Finance cost: interest on borrowings</t>
  </si>
  <si>
    <t>AR FY26 Note 24</t>
  </si>
  <si>
    <t>Finance cost: interest on lease liabilities</t>
  </si>
  <si>
    <t>Finance cost: interest on gold on loan</t>
  </si>
  <si>
    <t>Finance cost: others</t>
  </si>
  <si>
    <t>Depreciation: PP&amp;E &amp; investment property</t>
  </si>
  <si>
    <t>AR FY26 Note 25</t>
  </si>
  <si>
    <t>Depreciation: right-of-use assets (ROU)</t>
  </si>
  <si>
    <t>Amortisation: intangible assets</t>
  </si>
  <si>
    <t>Basic reported EPS (INR)</t>
  </si>
  <si>
    <t>Consolidated P&amp;L</t>
  </si>
  <si>
    <t>METHODOLOGY, IND AS POLICIES &amp; MODEL DOCUMENTATION</t>
  </si>
  <si>
    <t>MODEL ARCHITECTURE &amp; FLOW</t>
  </si>
  <si>
    <t>Core Flow</t>
  </si>
  <si>
    <t>Inputs -&gt; IS Drivers -&gt; Supporting Schedules -&gt; Cash Flow Statement -&gt; Balance Sheet (Cash ties to CF) -&gt; DCF Engine -&gt; Earnings Quality -&gt; Sensitivity / Scenarios -&gt; Checks.</t>
  </si>
  <si>
    <t>Self-Balancing Identity</t>
  </si>
  <si>
    <t>Assets strictly equal Liabilities + Equity across every year. Cash on the balance sheet is directly derived from the cash flow statement; short-term debt functions as an automated credit line holding minimum operational cash.</t>
  </si>
  <si>
    <t>Circularity Prevention</t>
  </si>
  <si>
    <t>Finance costs and lease interests are calculated strictly on OPENING balances. This eliminates iterative calculation loops while maintaining full Ind AS accuracy.</t>
  </si>
  <si>
    <t>IND AS RETAIL ACCOUNTING NUANCES</t>
  </si>
  <si>
    <t>Gold on Loan (GoL)</t>
  </si>
  <si>
    <t>Procurement of gold under metal loan agreements is accounted under current financial liabilities. On the cash flow statement, movement in GoL is included within operating cash flows. The model provides a dual switch (Inputs!C7) allowing analysts to treat GoL as operating working capital or as debt-like.</t>
  </si>
  <si>
    <t>Ind AS 116 Leases</t>
  </si>
  <si>
    <t>Titan operates a vast retail store network (Tanishq, Mia, Fastrack, Eyeplus). Lease liabilities and ROU assets are modeled via explicit roll-forwards, separating lease capex from tangible capex.</t>
  </si>
  <si>
    <t>VALUATION FRAMEWORK</t>
  </si>
  <si>
    <t>Two-Stage Fade DCF</t>
  </si>
  <si>
    <t>To prevent a growth cliff between the 5-year explicit horizon and perpetuity, a 5-year fade period is implemented where NOPAT growth fades linearly to terminal growth g, and reinvestment rate converges to g / RONIC.</t>
  </si>
  <si>
    <t>Terminal Value Cross-Check</t>
  </si>
  <si>
    <t>Dual valuation methodology: Gordon Growth Model vs Exit EV/EBITDA multiple applied to FY31E EBITDA.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</si>
</sst>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(#,##0\);&quot;-&quot;"/>
    <numFmt numFmtId="165" formatCode="#,##0.00;\(#,##0.00\);&quot;-&quot;"/>
    <numFmt numFmtId="166" formatCode="0.00%;\(0.00%\);&quot;-&quot;"/>
    <numFmt numFmtId="167" formatCode="0.0%;\(0.0%\);&quot;-&quot;"/>
    <numFmt numFmtId="168" formatCode="0.0&quot;x&quot;"/>
    <numFmt numFmtId="169" formatCode="0.0;\(0.0\);&quot;-&quot;"/>
    <numFmt numFmtId="170" formatCode="#,##0.0;\(#,##0.0\);&quot;-&quot;"/>
    <numFmt numFmtId="171" formatCode="0.00&quot;x&quot;"/>
    <numFmt numFmtId="172" formatCode="0.0000"/>
    <numFmt numFmtId="173" formatCode="0;\-0;0"/>
  </numFmts>
  <fonts count="17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1B365D"/>
      <name val="Calibri"/>
    </font>
    <font>
      <sz val="10"/>
      <color rgb="FF0000FF"/>
      <name val="Calibri"/>
    </font>
    <font>
      <i/>
      <sz val="10"/>
      <color rgb="FF7F7F7F"/>
      <name val="Calibri"/>
    </font>
    <font>
      <b/>
      <sz val="10"/>
      <color rgb="FF000000"/>
      <name val="Calibri"/>
    </font>
    <font>
      <b/>
      <sz val="10"/>
      <color rgb="FF0000FF"/>
      <name val="Calibri"/>
    </font>
    <font>
      <i/>
      <sz val="10"/>
      <color rgb="FF008000"/>
      <name val="Calibri"/>
    </font>
    <font>
      <b/>
      <sz val="10"/>
      <color rgb="FF008000"/>
      <name val="Calibri"/>
    </font>
    <font>
      <i/>
      <sz val="10"/>
      <color rgb="FF000000"/>
      <name val="Calibri"/>
    </font>
    <font>
      <sz val="10"/>
      <color rgb="FF008000"/>
      <name val="Calibri"/>
    </font>
    <font>
      <b/>
      <sz val="20"/>
      <color rgb="FFFFFFFF"/>
      <name val="Calibri"/>
    </font>
    <font>
      <i/>
      <sz val="11"/>
      <color rgb="FFFFFFFF"/>
      <name val="Calibri"/>
    </font>
    <font>
      <u/>
      <sz val="10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double">
        <color rgb="FF1B365D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4" fillId="2" borderId="0" xfId="0" applyFont="1" applyFill="1"/>
    <xf numFmtId="0" fontId="4" fillId="2" borderId="0" xfId="0" applyFont="1" applyFill="1"/>
    <xf numFmtId="0" fontId="15" fillId="2" borderId="0" xfId="0" applyFont="1" applyFill="1"/>
    <xf numFmtId="0" fontId="8" fillId="0" borderId="0" xfId="0" applyFont="1"/>
    <xf numFmtId="0" fontId="4" fillId="0" borderId="0" xfId="0" applyFont="1"/>
    <xf numFmtId="0" fontId="11" fillId="0" borderId="0" xfId="0" applyFont="1"/>
    <xf numFmtId="0" fontId="5" fillId="0" borderId="0" xfId="0" applyFont="1"/>
    <xf numFmtId="0" fontId="16" fillId="0" borderId="0" xfId="0" applyFont="1"/>
    <xf numFmtId="0" fontId="1" fillId="0" borderId="0" xfId="0" applyFont="1"/>
    <xf numFmtId="0" fontId="2" fillId="0" borderId="0" xfId="0" applyFont="1"/>
    <xf numFmtId="0" fontId="11" fillId="0" borderId="0" xfId="0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65" fontId="11" fillId="5" borderId="0" xfId="0" applyNumberFormat="1" applyFont="1" applyFill="1" applyAlignment="1">
      <alignment horizontal="right" vertical="center"/>
    </xf>
    <xf numFmtId="167" fontId="11" fillId="5" borderId="0" xfId="0" applyNumberFormat="1" applyFont="1" applyFill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7" fillId="0" borderId="0" xfId="0" applyFont="1" applyAlignment="1">
      <alignment horizontal="center" vertical="center"/>
    </xf>
    <xf numFmtId="164" fontId="11" fillId="0" borderId="0" xfId="0" applyNumberFormat="1" applyFont="1"/>
    <xf numFmtId="167" fontId="13" fillId="0" borderId="0" xfId="0" applyNumberFormat="1" applyFont="1"/>
    <xf numFmtId="165" fontId="13" fillId="0" borderId="0" xfId="0" applyNumberFormat="1" applyFont="1"/>
    <xf numFmtId="164" fontId="13" fillId="0" borderId="0" xfId="0" applyNumberFormat="1" applyFont="1"/>
    <xf numFmtId="168" fontId="13" fillId="0" borderId="0" xfId="0" applyNumberFormat="1" applyFont="1"/>
    <xf numFmtId="169" fontId="13" fillId="0" borderId="0" xfId="0" applyNumberFormat="1" applyFont="1"/>
    <xf numFmtId="0" fontId="5" fillId="4" borderId="0" xfId="0" applyFont="1" applyFill="1"/>
    <xf numFmtId="0" fontId="4" fillId="4" borderId="0" xfId="0" applyFont="1" applyFill="1"/>
    <xf numFmtId="164" fontId="9" fillId="5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5" borderId="0" xfId="0" applyNumberFormat="1" applyFont="1" applyFill="1"/>
    <xf numFmtId="166" fontId="6" fillId="5" borderId="0" xfId="0" applyNumberFormat="1" applyFont="1" applyFill="1"/>
    <xf numFmtId="167" fontId="6" fillId="5" borderId="0" xfId="0" applyNumberFormat="1" applyFont="1" applyFill="1"/>
    <xf numFmtId="0" fontId="8" fillId="0" borderId="0" xfId="0" applyFont="1" applyAlignment="1">
      <alignment horizontal="right" vertical="center"/>
    </xf>
    <xf numFmtId="168" fontId="6" fillId="5" borderId="0" xfId="0" applyNumberFormat="1" applyFont="1" applyFill="1"/>
    <xf numFmtId="168" fontId="8" fillId="0" borderId="0" xfId="0" applyNumberFormat="1" applyFont="1"/>
    <xf numFmtId="167" fontId="10" fillId="0" borderId="0" xfId="0" applyNumberFormat="1" applyFont="1"/>
    <xf numFmtId="167" fontId="8" fillId="0" borderId="0" xfId="0" applyNumberFormat="1" applyFont="1"/>
    <xf numFmtId="167" fontId="6" fillId="0" borderId="0" xfId="0" applyNumberFormat="1" applyFont="1"/>
    <xf numFmtId="166" fontId="10" fillId="0" borderId="0" xfId="0" applyNumberFormat="1" applyFont="1"/>
    <xf numFmtId="166" fontId="8" fillId="0" borderId="0" xfId="0" applyNumberFormat="1" applyFont="1"/>
    <xf numFmtId="166" fontId="6" fillId="0" borderId="0" xfId="0" applyNumberFormat="1" applyFont="1"/>
    <xf numFmtId="169" fontId="10" fillId="0" borderId="0" xfId="0" applyNumberFormat="1" applyFont="1"/>
    <xf numFmtId="169" fontId="8" fillId="0" borderId="0" xfId="0" applyNumberFormat="1" applyFont="1"/>
    <xf numFmtId="169" fontId="6" fillId="0" borderId="0" xfId="0" applyNumberFormat="1" applyFont="1"/>
    <xf numFmtId="164" fontId="6" fillId="0" borderId="0" xfId="0" applyNumberFormat="1" applyFont="1"/>
    <xf numFmtId="164" fontId="8" fillId="0" borderId="0" xfId="0" applyNumberFormat="1" applyFont="1"/>
    <xf numFmtId="0" fontId="12" fillId="0" borderId="0" xfId="0" applyFont="1" applyAlignment="1">
      <alignment indent="1"/>
    </xf>
    <xf numFmtId="167" fontId="12" fillId="0" borderId="0" xfId="0" applyNumberFormat="1" applyFont="1"/>
    <xf numFmtId="164" fontId="4" fillId="0" borderId="0" xfId="0" applyNumberFormat="1" applyFont="1"/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8" fillId="0" borderId="1" xfId="0" applyNumberFormat="1" applyFont="1" applyBorder="1"/>
    <xf numFmtId="166" fontId="12" fillId="0" borderId="0" xfId="0" applyNumberFormat="1" applyFont="1"/>
    <xf numFmtId="0" fontId="8" fillId="0" borderId="2" xfId="0" applyFont="1" applyBorder="1"/>
    <xf numFmtId="0" fontId="7" fillId="0" borderId="2" xfId="0" applyFont="1" applyBorder="1" applyAlignment="1">
      <alignment horizontal="center" vertical="center"/>
    </xf>
    <xf numFmtId="164" fontId="8" fillId="0" borderId="2" xfId="0" applyNumberFormat="1" applyFont="1" applyBorder="1"/>
    <xf numFmtId="165" fontId="8" fillId="0" borderId="0" xfId="0" applyNumberFormat="1" applyFont="1"/>
    <xf numFmtId="0" fontId="12" fillId="0" borderId="0" xfId="0" applyFont="1"/>
    <xf numFmtId="170" fontId="12" fillId="0" borderId="0" xfId="0" applyNumberFormat="1" applyFont="1"/>
    <xf numFmtId="164" fontId="12" fillId="0" borderId="0" xfId="0" applyNumberFormat="1" applyFont="1"/>
    <xf numFmtId="169" fontId="4" fillId="0" borderId="0" xfId="0" applyNumberFormat="1" applyFont="1"/>
    <xf numFmtId="164" fontId="11" fillId="0" borderId="1" xfId="0" applyNumberFormat="1" applyFont="1" applyBorder="1"/>
    <xf numFmtId="164" fontId="11" fillId="0" borderId="2" xfId="0" applyNumberFormat="1" applyFont="1" applyBorder="1"/>
    <xf numFmtId="167" fontId="4" fillId="0" borderId="0" xfId="0" applyNumberFormat="1" applyFont="1"/>
    <xf numFmtId="168" fontId="4" fillId="0" borderId="0" xfId="0" applyNumberFormat="1" applyFont="1"/>
    <xf numFmtId="171" fontId="4" fillId="0" borderId="0" xfId="0" applyNumberFormat="1" applyFont="1"/>
    <xf numFmtId="169" fontId="8" fillId="0" borderId="2" xfId="0" applyNumberFormat="1" applyFont="1" applyBorder="1"/>
    <xf numFmtId="0" fontId="4" fillId="0" borderId="2" xfId="0" applyFont="1" applyBorder="1"/>
    <xf numFmtId="167" fontId="8" fillId="0" borderId="2" xfId="0" applyNumberFormat="1" applyFont="1" applyBorder="1"/>
    <xf numFmtId="171" fontId="8" fillId="0" borderId="0" xfId="0" applyNumberFormat="1" applyFont="1"/>
    <xf numFmtId="166" fontId="13" fillId="0" borderId="0" xfId="0" applyNumberFormat="1" applyFont="1"/>
    <xf numFmtId="166" fontId="4" fillId="0" borderId="0" xfId="0" applyNumberFormat="1" applyFont="1"/>
    <xf numFmtId="166" fontId="8" fillId="0" borderId="2" xfId="0" applyNumberFormat="1" applyFont="1" applyBorder="1"/>
    <xf numFmtId="0" fontId="5" fillId="4" borderId="0" xfId="0" applyFont="1" applyFill="1" applyAlignment="1">
      <alignment horizontal="right" vertical="center"/>
    </xf>
    <xf numFmtId="170" fontId="4" fillId="0" borderId="0" xfId="0" applyNumberFormat="1" applyFont="1"/>
    <xf numFmtId="172" fontId="4" fillId="0" borderId="0" xfId="0" applyNumberFormat="1" applyFont="1"/>
    <xf numFmtId="0" fontId="7" fillId="0" borderId="0" xfId="0" applyFont="1"/>
    <xf numFmtId="173" fontId="6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 vertical="center"/>
    </xf>
    <xf numFmtId="166" fontId="8" fillId="6" borderId="0" xfId="0" applyNumberFormat="1" applyFont="1" applyFill="1" applyAlignment="1">
      <alignment horizontal="right" vertical="center"/>
    </xf>
    <xf numFmtId="166" fontId="8" fillId="6" borderId="0" xfId="0" applyNumberFormat="1" applyFont="1" applyFill="1"/>
    <xf numFmtId="164" fontId="8" fillId="5" borderId="0" xfId="0" applyNumberFormat="1" applyFont="1" applyFill="1"/>
    <xf numFmtId="168" fontId="8" fillId="6" borderId="0" xfId="0" applyNumberFormat="1" applyFont="1" applyFill="1" applyAlignment="1">
      <alignment horizontal="right" vertical="center"/>
    </xf>
    <xf numFmtId="164" fontId="11" fillId="5" borderId="0" xfId="0" applyNumberFormat="1" applyFont="1" applyFill="1"/>
    <xf numFmtId="167" fontId="8" fillId="5" borderId="0" xfId="0" applyNumberFormat="1" applyFont="1" applyFill="1"/>
    <xf numFmtId="167" fontId="11" fillId="5" borderId="0" xfId="0" applyNumberFormat="1" applyFont="1" applyFill="1"/>
    <xf numFmtId="165" fontId="11" fillId="5" borderId="0" xfId="0" applyNumberFormat="1" applyFont="1" applyFill="1"/>
    <xf numFmtId="166" fontId="11" fillId="5" borderId="0" xfId="0" applyNumberFormat="1" applyFont="1" applyFill="1"/>
    <xf numFmtId="170" fontId="6" fillId="0" borderId="0" xfId="0" applyNumberFormat="1" applyFont="1" applyAlignment="1">
      <alignment horizontal="center" vertical="center"/>
    </xf>
    <xf numFmtId="170" fontId="13" fillId="0" borderId="0" xfId="0" applyNumberFormat="1" applyFont="1"/>
    <xf numFmtId="0" fontId="8" fillId="5" borderId="0" xfId="0" applyFont="1" applyFill="1"/>
    <xf numFmtId="165" fontId="6" fillId="0" borderId="0" xfId="0" applyNumberFormat="1" applyFont="1"/>
    <xf numFmtId="0" fontId="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color rgb="FF006100"/>
        <name val="Calibr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Trajectory (INR Crore)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Summary!$C$17:$L$17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Summary!$C$18:$L$18</c:f>
              <c:numCache>
                <c:formatCode>#,##0;\(#,##0\);"-"</c:formatCode>
                <c:ptCount val="10"/>
                <c:pt idx="0">
                  <c:v>28799</c:v>
                </c:pt>
                <c:pt idx="1">
                  <c:v>40575</c:v>
                </c:pt>
                <c:pt idx="2">
                  <c:v>51084</c:v>
                </c:pt>
                <c:pt idx="3">
                  <c:v>60456</c:v>
                </c:pt>
                <c:pt idx="4">
                  <c:v>87584</c:v>
                </c:pt>
                <c:pt idx="5">
                  <c:v>103349.12</c:v>
                </c:pt>
                <c:pt idx="6">
                  <c:v>118851.48799999998</c:v>
                </c:pt>
                <c:pt idx="7">
                  <c:v>134302.18143999996</c:v>
                </c:pt>
                <c:pt idx="8">
                  <c:v>150418.44321279996</c:v>
                </c:pt>
                <c:pt idx="9">
                  <c:v>166964.47196620796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9-425C-B1FB-68F31B4F7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Operating Margins Profile (EBITDA, EBIT, PAT)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EBITDA Margin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Summary!$C$17:$L$17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Summary!$C$22:$L$22</c:f>
              <c:numCache>
                <c:formatCode>0.0%;\(0.0%\);"-"</c:formatCode>
                <c:ptCount val="10"/>
                <c:pt idx="0">
                  <c:v>0.11601097260321538</c:v>
                </c:pt>
                <c:pt idx="1">
                  <c:v>0.12024645717806531</c:v>
                </c:pt>
                <c:pt idx="2">
                  <c:v>0.10359408033826638</c:v>
                </c:pt>
                <c:pt idx="3">
                  <c:v>9.4184200079396582E-2</c:v>
                </c:pt>
                <c:pt idx="4">
                  <c:v>9.5394135915235656E-2</c:v>
                </c:pt>
                <c:pt idx="5">
                  <c:v>9.6000000000000113E-2</c:v>
                </c:pt>
                <c:pt idx="6">
                  <c:v>9.7999999999999962E-2</c:v>
                </c:pt>
                <c:pt idx="7">
                  <c:v>0.10000000000000005</c:v>
                </c:pt>
                <c:pt idx="8">
                  <c:v>0.10099999999999991</c:v>
                </c:pt>
                <c:pt idx="9">
                  <c:v>0.10199999999999997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EA-46B7-B68F-0802D62F3E5A}"/>
            </c:ext>
          </c:extLst>
        </c:ser>
        <c:ser>
          <c:idx val="1"/>
          <c:order val="1"/>
          <c:tx>
            <c:v>EBIT Margin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Summary!$C$17:$L$17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Summary!$C$24:$L$24</c:f>
              <c:numCache>
                <c:formatCode>0.0%;\(0.0%\);"-"</c:formatCode>
                <c:ptCount val="10"/>
                <c:pt idx="0">
                  <c:v>0.1021563248723914</c:v>
                </c:pt>
                <c:pt idx="1">
                  <c:v>0.10937769562538509</c:v>
                </c:pt>
                <c:pt idx="2">
                  <c:v>9.2161929371231702E-2</c:v>
                </c:pt>
                <c:pt idx="3">
                  <c:v>8.2721317983326714E-2</c:v>
                </c:pt>
                <c:pt idx="4">
                  <c:v>8.5963189623675551E-2</c:v>
                </c:pt>
                <c:pt idx="5">
                  <c:v>8.5012388300935826E-2</c:v>
                </c:pt>
                <c:pt idx="6">
                  <c:v>8.6589189041032397E-2</c:v>
                </c:pt>
                <c:pt idx="7">
                  <c:v>8.810228899392035E-2</c:v>
                </c:pt>
                <c:pt idx="8">
                  <c:v>8.8657606362887942E-2</c:v>
                </c:pt>
                <c:pt idx="9">
                  <c:v>8.9231842566479036E-2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EA-46B7-B68F-0802D62F3E5A}"/>
            </c:ext>
          </c:extLst>
        </c:ser>
        <c:ser>
          <c:idx val="2"/>
          <c:order val="2"/>
          <c:tx>
            <c:v>PAT Margin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Summary!$C$17:$L$17</c:f>
              <c:strCache>
                <c:ptCount val="10"/>
                <c:pt idx="0">
                  <c:v>FY22A</c:v>
                </c:pt>
                <c:pt idx="1">
                  <c:v>FY23A</c:v>
                </c:pt>
                <c:pt idx="2">
                  <c:v>FY24A</c:v>
                </c:pt>
                <c:pt idx="3">
                  <c:v>FY25A</c:v>
                </c:pt>
                <c:pt idx="4">
                  <c:v>FY26A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  <c:pt idx="9">
                  <c:v>FY31E</c:v>
                </c:pt>
              </c:strCache>
            </c:strRef>
          </c:cat>
          <c:val>
            <c:numRef>
              <c:f>Summary!$C$26:$L$26</c:f>
              <c:numCache>
                <c:formatCode>0.0%;\(0.0%\);"-"</c:formatCode>
                <c:ptCount val="10"/>
                <c:pt idx="0">
                  <c:v>7.632209451717073E-2</c:v>
                </c:pt>
                <c:pt idx="1">
                  <c:v>8.0690080098582875E-2</c:v>
                </c:pt>
                <c:pt idx="2">
                  <c:v>6.8436300994440535E-2</c:v>
                </c:pt>
                <c:pt idx="3">
                  <c:v>5.5197168188434564E-2</c:v>
                </c:pt>
                <c:pt idx="4">
                  <c:v>5.792153818048959E-2</c:v>
                </c:pt>
                <c:pt idx="5">
                  <c:v>5.6753517919843045E-2</c:v>
                </c:pt>
                <c:pt idx="6">
                  <c:v>5.8343485907513974E-2</c:v>
                </c:pt>
                <c:pt idx="7">
                  <c:v>6.0176436693299869E-2</c:v>
                </c:pt>
                <c:pt idx="8">
                  <c:v>6.1387991639666205E-2</c:v>
                </c:pt>
                <c:pt idx="9">
                  <c:v>6.2614780159838693E-2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EA-46B7-B68F-0802D62F3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;\(0.0%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37</xdr:row>
      <xdr:rowOff>0</xdr:rowOff>
    </xdr:from>
    <xdr:ext cx="50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2:C28"/>
  <sheetViews>
    <sheetView workbookViewId="0">
      <selection activeCell="F16" sqref="F16"/>
    </sheetView>
  </sheetViews>
  <sheetFormatPr defaultRowHeight="14.5" x14ac:dyDescent="0.35"/>
  <cols>
    <col min="1" max="1" width="4" customWidth="1"/>
    <col min="2" max="2" width="28" customWidth="1"/>
    <col min="3" max="3" width="85" customWidth="1"/>
  </cols>
  <sheetData>
    <row r="2" spans="2:3" ht="26" x14ac:dyDescent="0.6">
      <c r="B2" s="1" t="s">
        <v>0</v>
      </c>
      <c r="C2" s="2"/>
    </row>
    <row r="3" spans="2:3" x14ac:dyDescent="0.35">
      <c r="B3" s="3" t="s">
        <v>1</v>
      </c>
      <c r="C3" s="2"/>
    </row>
    <row r="5" spans="2:3" x14ac:dyDescent="0.35">
      <c r="B5" s="4" t="s">
        <v>2</v>
      </c>
      <c r="C5" s="5" t="s">
        <v>3</v>
      </c>
    </row>
    <row r="6" spans="2:3" x14ac:dyDescent="0.35">
      <c r="B6" s="4" t="s">
        <v>4</v>
      </c>
      <c r="C6" s="5" t="s">
        <v>5</v>
      </c>
    </row>
    <row r="7" spans="2:3" x14ac:dyDescent="0.35">
      <c r="B7" s="4" t="s">
        <v>6</v>
      </c>
      <c r="C7" s="5" t="s">
        <v>7</v>
      </c>
    </row>
    <row r="8" spans="2:3" x14ac:dyDescent="0.35">
      <c r="B8" s="4" t="s">
        <v>8</v>
      </c>
      <c r="C8" s="5" t="s">
        <v>9</v>
      </c>
    </row>
    <row r="9" spans="2:3" x14ac:dyDescent="0.35">
      <c r="B9" s="4" t="s">
        <v>10</v>
      </c>
      <c r="C9" s="5" t="s">
        <v>11</v>
      </c>
    </row>
    <row r="10" spans="2:3" x14ac:dyDescent="0.35">
      <c r="B10" s="4" t="s">
        <v>12</v>
      </c>
      <c r="C10" s="6" t="str">
        <f>Inputs!$C$6</f>
        <v>Base</v>
      </c>
    </row>
    <row r="11" spans="2:3" x14ac:dyDescent="0.35">
      <c r="B11" s="4" t="s">
        <v>13</v>
      </c>
      <c r="C11" s="6" t="str">
        <f>Checks!$C$32</f>
        <v>ALL CHECKS PASSED</v>
      </c>
    </row>
    <row r="12" spans="2:3" x14ac:dyDescent="0.35">
      <c r="B12" s="4" t="s">
        <v>14</v>
      </c>
      <c r="C12" s="5" t="s">
        <v>15</v>
      </c>
    </row>
    <row r="14" spans="2:3" x14ac:dyDescent="0.35">
      <c r="B14" s="7" t="s">
        <v>16</v>
      </c>
    </row>
    <row r="15" spans="2:3" x14ac:dyDescent="0.35">
      <c r="B15" s="8" t="s">
        <v>17</v>
      </c>
      <c r="C15" s="5" t="s">
        <v>18</v>
      </c>
    </row>
    <row r="16" spans="2:3" x14ac:dyDescent="0.35">
      <c r="B16" s="8" t="s">
        <v>19</v>
      </c>
      <c r="C16" s="5" t="s">
        <v>20</v>
      </c>
    </row>
    <row r="17" spans="2:3" x14ac:dyDescent="0.35">
      <c r="B17" s="8" t="s">
        <v>21</v>
      </c>
      <c r="C17" s="5" t="s">
        <v>22</v>
      </c>
    </row>
    <row r="18" spans="2:3" x14ac:dyDescent="0.35">
      <c r="B18" s="8" t="s">
        <v>23</v>
      </c>
      <c r="C18" s="5" t="s">
        <v>24</v>
      </c>
    </row>
    <row r="19" spans="2:3" x14ac:dyDescent="0.35">
      <c r="B19" s="8" t="s">
        <v>25</v>
      </c>
      <c r="C19" s="5" t="s">
        <v>26</v>
      </c>
    </row>
    <row r="20" spans="2:3" x14ac:dyDescent="0.35">
      <c r="B20" s="8" t="s">
        <v>27</v>
      </c>
      <c r="C20" s="5" t="s">
        <v>28</v>
      </c>
    </row>
    <row r="21" spans="2:3" x14ac:dyDescent="0.35">
      <c r="B21" s="8" t="s">
        <v>29</v>
      </c>
      <c r="C21" s="5" t="s">
        <v>30</v>
      </c>
    </row>
    <row r="22" spans="2:3" x14ac:dyDescent="0.35">
      <c r="B22" s="8" t="s">
        <v>31</v>
      </c>
      <c r="C22" s="5" t="s">
        <v>32</v>
      </c>
    </row>
    <row r="23" spans="2:3" x14ac:dyDescent="0.35">
      <c r="B23" s="8" t="s">
        <v>33</v>
      </c>
      <c r="C23" s="5" t="s">
        <v>34</v>
      </c>
    </row>
    <row r="24" spans="2:3" x14ac:dyDescent="0.35">
      <c r="B24" s="8" t="s">
        <v>35</v>
      </c>
      <c r="C24" s="5" t="s">
        <v>36</v>
      </c>
    </row>
    <row r="25" spans="2:3" x14ac:dyDescent="0.35">
      <c r="B25" s="8" t="s">
        <v>37</v>
      </c>
      <c r="C25" s="5" t="s">
        <v>38</v>
      </c>
    </row>
    <row r="26" spans="2:3" x14ac:dyDescent="0.35">
      <c r="B26" s="8" t="s">
        <v>39</v>
      </c>
      <c r="C26" s="5" t="s">
        <v>40</v>
      </c>
    </row>
    <row r="27" spans="2:3" x14ac:dyDescent="0.35">
      <c r="B27" s="8" t="s">
        <v>41</v>
      </c>
      <c r="C27" s="5" t="s">
        <v>42</v>
      </c>
    </row>
    <row r="28" spans="2:3" x14ac:dyDescent="0.35">
      <c r="B28" s="8" t="s">
        <v>43</v>
      </c>
      <c r="C28" s="5" t="s">
        <v>44</v>
      </c>
    </row>
  </sheetData>
  <hyperlinks>
    <hyperlink ref="B15" location="'Summary'!A1" display="Summary" xr:uid="{00000000-0004-0000-0000-000000000000}"/>
    <hyperlink ref="B16" location="'Inputs'!A1" display="Inputs" xr:uid="{00000000-0004-0000-0000-000001000000}"/>
    <hyperlink ref="B17" location="'IS'!A1" display="IS" xr:uid="{00000000-0004-0000-0000-000002000000}"/>
    <hyperlink ref="B18" location="'BS'!A1" display="BS" xr:uid="{00000000-0004-0000-0000-000003000000}"/>
    <hyperlink ref="B19" location="'CF'!A1" display="CF" xr:uid="{00000000-0004-0000-0000-000004000000}"/>
    <hyperlink ref="B20" location="'Schedules'!A1" display="Schedules" xr:uid="{00000000-0004-0000-0000-000005000000}"/>
    <hyperlink ref="B21" location="'Earnings_Quality'!A1" display="Earnings_Quality" xr:uid="{00000000-0004-0000-0000-000006000000}"/>
    <hyperlink ref="B22" location="'DCF'!A1" display="DCF" xr:uid="{00000000-0004-0000-0000-000007000000}"/>
    <hyperlink ref="B23" location="'Sensitivity'!A1" display="Sensitivity" xr:uid="{00000000-0004-0000-0000-000008000000}"/>
    <hyperlink ref="B24" location="'Scenarios'!A1" display="Scenarios" xr:uid="{00000000-0004-0000-0000-000009000000}"/>
    <hyperlink ref="B25" location="'Checks'!A1" display="Checks" xr:uid="{00000000-0004-0000-0000-00000A000000}"/>
    <hyperlink ref="B26" location="'PowerBI_Export'!A1" display="PowerBI_Export" xr:uid="{00000000-0004-0000-0000-00000B000000}"/>
    <hyperlink ref="B27" location="'Hist_Data'!A1" display="Hist_Data" xr:uid="{00000000-0004-0000-0000-00000C000000}"/>
    <hyperlink ref="B28" location="'Notes'!A1" display="Notes" xr:uid="{00000000-0004-0000-0000-00000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L35"/>
  <sheetViews>
    <sheetView workbookViewId="0">
      <selection activeCell="F16" sqref="F16"/>
    </sheetView>
  </sheetViews>
  <sheetFormatPr defaultRowHeight="14.5" x14ac:dyDescent="0.35"/>
  <cols>
    <col min="1" max="1" width="46" customWidth="1"/>
    <col min="2" max="2" width="10" customWidth="1"/>
    <col min="3" max="12" width="13" customWidth="1"/>
  </cols>
  <sheetData>
    <row r="1" spans="1:5" ht="19.5" x14ac:dyDescent="0.45">
      <c r="A1" s="9" t="s">
        <v>45</v>
      </c>
    </row>
    <row r="2" spans="1:5" x14ac:dyDescent="0.35">
      <c r="A2" s="10" t="s">
        <v>46</v>
      </c>
    </row>
    <row r="4" spans="1:5" x14ac:dyDescent="0.35">
      <c r="A4" s="4" t="s">
        <v>47</v>
      </c>
      <c r="C4" s="11" t="str">
        <f>Inputs!$C$6</f>
        <v>Base</v>
      </c>
      <c r="E4" s="7" t="s">
        <v>48</v>
      </c>
    </row>
    <row r="5" spans="1:5" x14ac:dyDescent="0.35">
      <c r="A5" s="4" t="s">
        <v>49</v>
      </c>
      <c r="C5" s="11" t="str">
        <f>Checks!$C$32</f>
        <v>ALL CHECKS PASSED</v>
      </c>
      <c r="E5" s="10" t="s">
        <v>50</v>
      </c>
    </row>
    <row r="6" spans="1:5" x14ac:dyDescent="0.35">
      <c r="A6" s="4" t="s">
        <v>51</v>
      </c>
      <c r="C6" s="12">
        <f>Inputs!$C$9</f>
        <v>4798.5</v>
      </c>
    </row>
    <row r="7" spans="1:5" x14ac:dyDescent="0.35">
      <c r="A7" s="4" t="s">
        <v>52</v>
      </c>
      <c r="C7" s="13">
        <f>DCF!$C$15</f>
        <v>0.112695</v>
      </c>
    </row>
    <row r="8" spans="1:5" x14ac:dyDescent="0.35">
      <c r="A8" s="4" t="s">
        <v>53</v>
      </c>
      <c r="C8" s="13">
        <f>Inputs!$C$18</f>
        <v>0.05</v>
      </c>
    </row>
    <row r="9" spans="1:5" x14ac:dyDescent="0.35">
      <c r="A9" s="4" t="s">
        <v>54</v>
      </c>
      <c r="C9" s="14">
        <f>DCF!$C$62</f>
        <v>995.47081887913691</v>
      </c>
    </row>
    <row r="10" spans="1:5" x14ac:dyDescent="0.35">
      <c r="A10" s="5" t="s">
        <v>55</v>
      </c>
      <c r="C10" s="15">
        <f>DCF!$C$64</f>
        <v>-0.79254541650950572</v>
      </c>
    </row>
    <row r="11" spans="1:5" x14ac:dyDescent="0.35">
      <c r="A11" s="4" t="s">
        <v>56</v>
      </c>
      <c r="C11" s="14">
        <f>DCF!$C$73</f>
        <v>2861.2805262212987</v>
      </c>
    </row>
    <row r="12" spans="1:5" x14ac:dyDescent="0.35">
      <c r="A12" s="5" t="s">
        <v>57</v>
      </c>
      <c r="C12" s="15">
        <f>DCF!$C$74</f>
        <v>-0.40371355085520499</v>
      </c>
    </row>
    <row r="13" spans="1:5" x14ac:dyDescent="0.35">
      <c r="A13" s="4" t="s">
        <v>58</v>
      </c>
      <c r="C13" s="16">
        <f>DCF!$C$52</f>
        <v>97505.899300089775</v>
      </c>
    </row>
    <row r="14" spans="1:5" x14ac:dyDescent="0.35">
      <c r="A14" s="4" t="s">
        <v>59</v>
      </c>
      <c r="C14" s="17">
        <f>DCF!$C$77</f>
        <v>0.68507886863302225</v>
      </c>
    </row>
    <row r="17" spans="1:12" x14ac:dyDescent="0.35">
      <c r="A17" s="18" t="s">
        <v>60</v>
      </c>
      <c r="B17" s="19" t="s">
        <v>61</v>
      </c>
      <c r="C17" s="20" t="s">
        <v>62</v>
      </c>
      <c r="D17" s="20" t="s">
        <v>63</v>
      </c>
      <c r="E17" s="20" t="s">
        <v>64</v>
      </c>
      <c r="F17" s="20" t="s">
        <v>65</v>
      </c>
      <c r="G17" s="20" t="s">
        <v>66</v>
      </c>
      <c r="H17" s="21" t="s">
        <v>67</v>
      </c>
      <c r="I17" s="21" t="s">
        <v>68</v>
      </c>
      <c r="J17" s="21" t="s">
        <v>69</v>
      </c>
      <c r="K17" s="21" t="s">
        <v>70</v>
      </c>
      <c r="L17" s="21" t="s">
        <v>71</v>
      </c>
    </row>
    <row r="18" spans="1:12" x14ac:dyDescent="0.35">
      <c r="A18" s="4" t="s">
        <v>72</v>
      </c>
      <c r="B18" s="22" t="s">
        <v>73</v>
      </c>
      <c r="C18" s="23">
        <f>IS!C5</f>
        <v>28799</v>
      </c>
      <c r="D18" s="23">
        <f>IS!D5</f>
        <v>40575</v>
      </c>
      <c r="E18" s="23">
        <f>IS!E5</f>
        <v>51084</v>
      </c>
      <c r="F18" s="23">
        <f>IS!F5</f>
        <v>60456</v>
      </c>
      <c r="G18" s="23">
        <f>IS!G5</f>
        <v>87584</v>
      </c>
      <c r="H18" s="23">
        <f>IS!H5</f>
        <v>103349.12</v>
      </c>
      <c r="I18" s="23">
        <f>IS!I5</f>
        <v>118851.48799999998</v>
      </c>
      <c r="J18" s="23">
        <f>IS!J5</f>
        <v>134302.18143999996</v>
      </c>
      <c r="K18" s="23">
        <f>IS!K5</f>
        <v>150418.44321279996</v>
      </c>
      <c r="L18" s="23">
        <f>IS!L5</f>
        <v>166964.47196620796</v>
      </c>
    </row>
    <row r="19" spans="1:12" x14ac:dyDescent="0.35">
      <c r="A19" s="5" t="s">
        <v>74</v>
      </c>
      <c r="B19" s="22" t="s">
        <v>75</v>
      </c>
      <c r="D19" s="24">
        <f>IS!D6</f>
        <v>0.40890308691274013</v>
      </c>
      <c r="E19" s="24">
        <f>IS!E6</f>
        <v>0.25900184842883545</v>
      </c>
      <c r="F19" s="24">
        <f>IS!F6</f>
        <v>0.18346253229974163</v>
      </c>
      <c r="G19" s="24">
        <f>IS!G6</f>
        <v>0.448723038242689</v>
      </c>
      <c r="H19" s="24">
        <f>IS!H6</f>
        <v>0.18</v>
      </c>
      <c r="I19" s="24">
        <f>IS!I6</f>
        <v>0.15</v>
      </c>
      <c r="J19" s="24">
        <f>IS!J6</f>
        <v>0.13</v>
      </c>
      <c r="K19" s="24">
        <f>IS!K6</f>
        <v>0.12</v>
      </c>
      <c r="L19" s="24">
        <f>IS!L6</f>
        <v>0.11</v>
      </c>
    </row>
    <row r="20" spans="1:12" x14ac:dyDescent="0.35">
      <c r="A20" s="5" t="s">
        <v>76</v>
      </c>
      <c r="B20" s="22" t="s">
        <v>75</v>
      </c>
      <c r="C20" s="24">
        <f>IS!C9</f>
        <v>0.24855029688530852</v>
      </c>
      <c r="D20" s="24">
        <f>IS!D9</f>
        <v>0.25187923598274797</v>
      </c>
      <c r="E20" s="24">
        <f>IS!E9</f>
        <v>0.22809490251350717</v>
      </c>
      <c r="F20" s="24">
        <f>IS!F9</f>
        <v>0.21503242027259495</v>
      </c>
      <c r="G20" s="24">
        <f>IS!G9</f>
        <v>0.19726205699671173</v>
      </c>
      <c r="H20" s="24">
        <f>IS!H9</f>
        <v>0.19700000000000001</v>
      </c>
      <c r="I20" s="24">
        <f>IS!I9</f>
        <v>0.19800000000000001</v>
      </c>
      <c r="J20" s="24">
        <f>IS!J9</f>
        <v>0.19900000000000001</v>
      </c>
      <c r="K20" s="24">
        <f>IS!K9</f>
        <v>0.2</v>
      </c>
      <c r="L20" s="24">
        <f>IS!L9</f>
        <v>0.2</v>
      </c>
    </row>
    <row r="21" spans="1:12" x14ac:dyDescent="0.35">
      <c r="A21" s="4" t="s">
        <v>77</v>
      </c>
      <c r="B21" s="22" t="s">
        <v>73</v>
      </c>
      <c r="C21" s="23">
        <f>IS!C14</f>
        <v>3341</v>
      </c>
      <c r="D21" s="23">
        <f>IS!D14</f>
        <v>4879</v>
      </c>
      <c r="E21" s="23">
        <f>IS!E14</f>
        <v>5292</v>
      </c>
      <c r="F21" s="23">
        <f>IS!F14</f>
        <v>5694</v>
      </c>
      <c r="G21" s="23">
        <f>IS!G14</f>
        <v>8355</v>
      </c>
      <c r="H21" s="23">
        <f>IS!H14</f>
        <v>9921.5155200000117</v>
      </c>
      <c r="I21" s="23">
        <f>IS!I14</f>
        <v>11647.445823999993</v>
      </c>
      <c r="J21" s="23">
        <f>IS!J14</f>
        <v>13430.218144000002</v>
      </c>
      <c r="K21" s="23">
        <f>IS!K14</f>
        <v>15192.262764492783</v>
      </c>
      <c r="L21" s="23">
        <f>IS!L14</f>
        <v>17030.376140553206</v>
      </c>
    </row>
    <row r="22" spans="1:12" x14ac:dyDescent="0.35">
      <c r="A22" s="5" t="s">
        <v>78</v>
      </c>
      <c r="B22" s="22" t="s">
        <v>75</v>
      </c>
      <c r="C22" s="24">
        <f>IS!C15</f>
        <v>0.11601097260321538</v>
      </c>
      <c r="D22" s="24">
        <f>IS!D15</f>
        <v>0.12024645717806531</v>
      </c>
      <c r="E22" s="24">
        <f>IS!E15</f>
        <v>0.10359408033826638</v>
      </c>
      <c r="F22" s="24">
        <f>IS!F15</f>
        <v>9.4184200079396582E-2</v>
      </c>
      <c r="G22" s="24">
        <f>IS!G15</f>
        <v>9.5394135915235656E-2</v>
      </c>
      <c r="H22" s="24">
        <f>IS!H15</f>
        <v>9.6000000000000113E-2</v>
      </c>
      <c r="I22" s="24">
        <f>IS!I15</f>
        <v>9.7999999999999962E-2</v>
      </c>
      <c r="J22" s="24">
        <f>IS!J15</f>
        <v>0.10000000000000005</v>
      </c>
      <c r="K22" s="24">
        <f>IS!K15</f>
        <v>0.10099999999999991</v>
      </c>
      <c r="L22" s="24">
        <f>IS!L15</f>
        <v>0.10199999999999997</v>
      </c>
    </row>
    <row r="23" spans="1:12" x14ac:dyDescent="0.35">
      <c r="A23" s="4" t="s">
        <v>79</v>
      </c>
      <c r="B23" s="22" t="s">
        <v>73</v>
      </c>
      <c r="C23" s="23">
        <f>IS!C17</f>
        <v>2942</v>
      </c>
      <c r="D23" s="23">
        <f>IS!D17</f>
        <v>4438</v>
      </c>
      <c r="E23" s="23">
        <f>IS!E17</f>
        <v>4708</v>
      </c>
      <c r="F23" s="23">
        <f>IS!F17</f>
        <v>5001</v>
      </c>
      <c r="G23" s="23">
        <f>IS!G17</f>
        <v>7529</v>
      </c>
      <c r="H23" s="23">
        <f>IS!H17</f>
        <v>8785.9555200000123</v>
      </c>
      <c r="I23" s="23">
        <f>IS!I17</f>
        <v>10291.253962239993</v>
      </c>
      <c r="J23" s="23">
        <f>IS!J17</f>
        <v>11832.329601740803</v>
      </c>
      <c r="K23" s="23">
        <f>IS!K17</f>
        <v>13335.739128078832</v>
      </c>
      <c r="L23" s="23">
        <f>IS!L17</f>
        <v>14898.547476683971</v>
      </c>
    </row>
    <row r="24" spans="1:12" x14ac:dyDescent="0.35">
      <c r="A24" s="5" t="s">
        <v>80</v>
      </c>
      <c r="B24" s="22" t="s">
        <v>75</v>
      </c>
      <c r="C24" s="24">
        <f>IS!C18</f>
        <v>0.1021563248723914</v>
      </c>
      <c r="D24" s="24">
        <f>IS!D18</f>
        <v>0.10937769562538509</v>
      </c>
      <c r="E24" s="24">
        <f>IS!E18</f>
        <v>9.2161929371231702E-2</v>
      </c>
      <c r="F24" s="24">
        <f>IS!F18</f>
        <v>8.2721317983326714E-2</v>
      </c>
      <c r="G24" s="24">
        <f>IS!G18</f>
        <v>8.5963189623675551E-2</v>
      </c>
      <c r="H24" s="24">
        <f>IS!H18</f>
        <v>8.5012388300935826E-2</v>
      </c>
      <c r="I24" s="24">
        <f>IS!I18</f>
        <v>8.6589189041032397E-2</v>
      </c>
      <c r="J24" s="24">
        <f>IS!J18</f>
        <v>8.810228899392035E-2</v>
      </c>
      <c r="K24" s="24">
        <f>IS!K18</f>
        <v>8.8657606362887942E-2</v>
      </c>
      <c r="L24" s="24">
        <f>IS!L18</f>
        <v>8.9231842566479036E-2</v>
      </c>
    </row>
    <row r="25" spans="1:12" x14ac:dyDescent="0.35">
      <c r="A25" s="4" t="s">
        <v>81</v>
      </c>
      <c r="B25" s="22" t="s">
        <v>73</v>
      </c>
      <c r="C25" s="23">
        <f>IS!C27</f>
        <v>2198</v>
      </c>
      <c r="D25" s="23">
        <f>IS!D27</f>
        <v>3274</v>
      </c>
      <c r="E25" s="23">
        <f>IS!E27</f>
        <v>3496</v>
      </c>
      <c r="F25" s="23">
        <f>IS!F27</f>
        <v>3337</v>
      </c>
      <c r="G25" s="23">
        <f>IS!G27</f>
        <v>5073</v>
      </c>
      <c r="H25" s="23">
        <f>IS!H27</f>
        <v>5865.4261339200093</v>
      </c>
      <c r="I25" s="23">
        <f>IS!I27</f>
        <v>6934.2101152150653</v>
      </c>
      <c r="J25" s="23">
        <f>IS!J27</f>
        <v>8081.8267191962295</v>
      </c>
      <c r="K25" s="23">
        <f>IS!K27</f>
        <v>9233.8861343989702</v>
      </c>
      <c r="L25" s="23">
        <f>IS!L27</f>
        <v>10454.443706667662</v>
      </c>
    </row>
    <row r="26" spans="1:12" x14ac:dyDescent="0.35">
      <c r="A26" s="5" t="s">
        <v>82</v>
      </c>
      <c r="B26" s="22" t="s">
        <v>75</v>
      </c>
      <c r="C26" s="24">
        <f>IS!C28</f>
        <v>7.632209451717073E-2</v>
      </c>
      <c r="D26" s="24">
        <f>IS!D28</f>
        <v>8.0690080098582875E-2</v>
      </c>
      <c r="E26" s="24">
        <f>IS!E28</f>
        <v>6.8436300994440535E-2</v>
      </c>
      <c r="F26" s="24">
        <f>IS!F28</f>
        <v>5.5197168188434564E-2</v>
      </c>
      <c r="G26" s="24">
        <f>IS!G28</f>
        <v>5.792153818048959E-2</v>
      </c>
      <c r="H26" s="24">
        <f>IS!H28</f>
        <v>5.6753517919843045E-2</v>
      </c>
      <c r="I26" s="24">
        <f>IS!I28</f>
        <v>5.8343485907513974E-2</v>
      </c>
      <c r="J26" s="24">
        <f>IS!J28</f>
        <v>6.0176436693299869E-2</v>
      </c>
      <c r="K26" s="24">
        <f>IS!K28</f>
        <v>6.1387991639666205E-2</v>
      </c>
      <c r="L26" s="24">
        <f>IS!L28</f>
        <v>6.2614780159838693E-2</v>
      </c>
    </row>
    <row r="27" spans="1:12" x14ac:dyDescent="0.35">
      <c r="A27" s="5" t="s">
        <v>83</v>
      </c>
      <c r="B27" s="22" t="s">
        <v>84</v>
      </c>
      <c r="C27" s="25">
        <f>IS!C31</f>
        <v>24.757828339716152</v>
      </c>
      <c r="D27" s="25">
        <f>IS!D31</f>
        <v>36.877675152061272</v>
      </c>
      <c r="E27" s="25">
        <f>IS!E31</f>
        <v>39.37823834196891</v>
      </c>
      <c r="F27" s="25">
        <f>IS!F31</f>
        <v>37.58729443568371</v>
      </c>
      <c r="G27" s="25">
        <f>IS!G31</f>
        <v>57.141248028835321</v>
      </c>
      <c r="H27" s="25">
        <f>IS!H31</f>
        <v>66.066976052264124</v>
      </c>
      <c r="I27" s="25">
        <f>IS!I31</f>
        <v>78.105543086450382</v>
      </c>
      <c r="J27" s="25">
        <f>IS!J31</f>
        <v>91.032064870423852</v>
      </c>
      <c r="K27" s="25">
        <f>IS!K31</f>
        <v>104.00862958322787</v>
      </c>
      <c r="L27" s="25">
        <f>IS!L31</f>
        <v>117.75674371105724</v>
      </c>
    </row>
    <row r="28" spans="1:12" x14ac:dyDescent="0.35">
      <c r="A28" s="4" t="s">
        <v>85</v>
      </c>
      <c r="B28" s="22" t="s">
        <v>73</v>
      </c>
      <c r="C28" s="23">
        <f>CF!C17</f>
        <v>-724</v>
      </c>
      <c r="D28" s="23">
        <f>CF!D17</f>
        <v>1370</v>
      </c>
      <c r="E28" s="23">
        <f>CF!E17</f>
        <v>1695</v>
      </c>
      <c r="F28" s="23">
        <f>CF!F17</f>
        <v>-541</v>
      </c>
      <c r="G28" s="23">
        <f>CF!G17</f>
        <v>5590</v>
      </c>
      <c r="H28" s="23">
        <f>CF!H17</f>
        <v>4433.9242476295994</v>
      </c>
      <c r="I28" s="23">
        <f>CF!I17</f>
        <v>6352.1374299298541</v>
      </c>
      <c r="J28" s="23">
        <f>CF!J17</f>
        <v>7764.5456937704348</v>
      </c>
      <c r="K28" s="23">
        <f>CF!K17</f>
        <v>9017.7659225407424</v>
      </c>
      <c r="L28" s="23">
        <f>CF!L17</f>
        <v>10312.795327808119</v>
      </c>
    </row>
    <row r="29" spans="1:12" x14ac:dyDescent="0.35">
      <c r="A29" s="5" t="s">
        <v>86</v>
      </c>
      <c r="B29" s="22" t="s">
        <v>73</v>
      </c>
      <c r="C29" s="26">
        <f>Schedules!C32</f>
        <v>224</v>
      </c>
      <c r="D29" s="26">
        <f>Schedules!D32</f>
        <v>432</v>
      </c>
      <c r="E29" s="26">
        <f>Schedules!E32</f>
        <v>691</v>
      </c>
      <c r="F29" s="26">
        <f>Schedules!F32</f>
        <v>494</v>
      </c>
      <c r="G29" s="26">
        <f>Schedules!G32</f>
        <v>902</v>
      </c>
      <c r="H29" s="26">
        <f>Schedules!H32</f>
        <v>1240.1894399999999</v>
      </c>
      <c r="I29" s="26">
        <f>Schedules!I32</f>
        <v>1426.2178559999998</v>
      </c>
      <c r="J29" s="26">
        <f>Schedules!J32</f>
        <v>1611.6261772799994</v>
      </c>
      <c r="K29" s="26">
        <f>Schedules!K32</f>
        <v>1805.0213185535995</v>
      </c>
      <c r="L29" s="26">
        <f>Schedules!L32</f>
        <v>2003.5736635944957</v>
      </c>
    </row>
    <row r="30" spans="1:12" x14ac:dyDescent="0.35">
      <c r="A30" s="4" t="s">
        <v>87</v>
      </c>
      <c r="B30" s="22" t="s">
        <v>73</v>
      </c>
      <c r="C30" s="23">
        <f>CF!C37</f>
        <v>-948</v>
      </c>
      <c r="D30" s="23">
        <f>CF!D37</f>
        <v>938</v>
      </c>
      <c r="E30" s="23">
        <f>CF!E37</f>
        <v>1004</v>
      </c>
      <c r="F30" s="23">
        <f>CF!F37</f>
        <v>-1035</v>
      </c>
      <c r="G30" s="23">
        <f>CF!G37</f>
        <v>4688</v>
      </c>
      <c r="H30" s="23">
        <f>CF!H37</f>
        <v>3193.7348076295993</v>
      </c>
      <c r="I30" s="23">
        <f>CF!I37</f>
        <v>4925.9195739298539</v>
      </c>
      <c r="J30" s="23">
        <f>CF!J37</f>
        <v>6152.9195164904359</v>
      </c>
      <c r="K30" s="23">
        <f>CF!K37</f>
        <v>7212.7446039871429</v>
      </c>
      <c r="L30" s="23">
        <f>CF!L37</f>
        <v>8309.2216642136227</v>
      </c>
    </row>
    <row r="31" spans="1:12" x14ac:dyDescent="0.35">
      <c r="A31" s="4" t="s">
        <v>88</v>
      </c>
      <c r="B31" s="22" t="s">
        <v>73</v>
      </c>
      <c r="C31" s="23">
        <f>Schedules!C95</f>
        <v>5687</v>
      </c>
      <c r="D31" s="23">
        <f>Schedules!D95</f>
        <v>5860</v>
      </c>
      <c r="E31" s="23">
        <f>Schedules!E95</f>
        <v>12336</v>
      </c>
      <c r="F31" s="23">
        <f>Schedules!F95</f>
        <v>17856</v>
      </c>
      <c r="G31" s="23">
        <f>Schedules!G95</f>
        <v>26455</v>
      </c>
      <c r="H31" s="23">
        <f>Schedules!H95</f>
        <v>29025.6808019704</v>
      </c>
      <c r="I31" s="23">
        <f>Schedules!I95</f>
        <v>30617.665855948253</v>
      </c>
      <c r="J31" s="23">
        <f>Schedules!J95</f>
        <v>31412.299844474299</v>
      </c>
      <c r="K31" s="23">
        <f>Schedules!K95</f>
        <v>31689.075054557885</v>
      </c>
      <c r="L31" s="23">
        <f>Schedules!L95</f>
        <v>31379.18809213541</v>
      </c>
    </row>
    <row r="32" spans="1:12" x14ac:dyDescent="0.35">
      <c r="A32" s="5" t="s">
        <v>89</v>
      </c>
      <c r="B32" s="22" t="s">
        <v>90</v>
      </c>
      <c r="C32" s="27">
        <f>Schedules!C96</f>
        <v>1.7021849745585154</v>
      </c>
      <c r="D32" s="27">
        <f>Schedules!D96</f>
        <v>1.2010657921705268</v>
      </c>
      <c r="E32" s="27">
        <f>Schedules!E96</f>
        <v>2.3310657596371884</v>
      </c>
      <c r="F32" s="27">
        <f>Schedules!F96</f>
        <v>3.1359325605900947</v>
      </c>
      <c r="G32" s="27">
        <f>Schedules!G96</f>
        <v>3.1663674446439258</v>
      </c>
      <c r="H32" s="27">
        <f>Schedules!H96</f>
        <v>2.9255289419705877</v>
      </c>
      <c r="I32" s="27">
        <f>Schedules!I96</f>
        <v>2.6287021479730277</v>
      </c>
      <c r="J32" s="27">
        <f>Schedules!J96</f>
        <v>2.3389270008624434</v>
      </c>
      <c r="K32" s="27">
        <f>Schedules!K96</f>
        <v>2.0858693366350467</v>
      </c>
      <c r="L32" s="27">
        <f>Schedules!L96</f>
        <v>1.8425422805204175</v>
      </c>
    </row>
    <row r="33" spans="1:12" x14ac:dyDescent="0.35">
      <c r="A33" s="5" t="s">
        <v>91</v>
      </c>
      <c r="B33" s="22" t="s">
        <v>75</v>
      </c>
      <c r="D33" s="24">
        <f>Schedules!D93</f>
        <v>0.30832980176107738</v>
      </c>
      <c r="E33" s="24">
        <f>Schedules!E93</f>
        <v>0.32830915152368878</v>
      </c>
      <c r="F33" s="24">
        <f>Schedules!F93</f>
        <v>0.31755245753437694</v>
      </c>
      <c r="G33" s="24">
        <f>Schedules!G93</f>
        <v>0.37128115051048416</v>
      </c>
      <c r="H33" s="24">
        <f>Schedules!H93</f>
        <v>0.32674906748417765</v>
      </c>
      <c r="I33" s="24">
        <f>Schedules!I93</f>
        <v>0.30314827104446535</v>
      </c>
      <c r="J33" s="24">
        <f>Schedules!J93</f>
        <v>0.28204826103666969</v>
      </c>
      <c r="K33" s="24">
        <f>Schedules!K93</f>
        <v>0.26169624984434336</v>
      </c>
      <c r="L33" s="24">
        <f>Schedules!L93</f>
        <v>0.2443124145730213</v>
      </c>
    </row>
    <row r="34" spans="1:12" x14ac:dyDescent="0.35">
      <c r="A34" s="5" t="s">
        <v>92</v>
      </c>
      <c r="B34" s="22" t="s">
        <v>75</v>
      </c>
      <c r="D34" s="24">
        <f>Schedules!D94</f>
        <v>0.19932735236536211</v>
      </c>
      <c r="E34" s="24">
        <f>Schedules!E94</f>
        <v>0.18029922299978093</v>
      </c>
      <c r="F34" s="24">
        <f>Schedules!F94</f>
        <v>0.14372074850834496</v>
      </c>
      <c r="G34" s="24">
        <f>Schedules!G94</f>
        <v>0.15678912182018712</v>
      </c>
      <c r="H34" s="24">
        <f>Schedules!H94</f>
        <v>0.14344825781968082</v>
      </c>
      <c r="I34" s="24">
        <f>Schedules!I94</f>
        <v>0.14569084371569652</v>
      </c>
      <c r="J34" s="24">
        <f>Schedules!J94</f>
        <v>0.14793128941444583</v>
      </c>
      <c r="K34" s="24">
        <f>Schedules!K94</f>
        <v>0.14885010288401282</v>
      </c>
      <c r="L34" s="24">
        <f>Schedules!L94</f>
        <v>0.14953586517209769</v>
      </c>
    </row>
    <row r="35" spans="1:12" x14ac:dyDescent="0.35">
      <c r="A35" s="5" t="s">
        <v>93</v>
      </c>
      <c r="B35" s="22" t="s">
        <v>94</v>
      </c>
      <c r="C35" s="28">
        <f>Schedules!C8</f>
        <v>229.53121389954254</v>
      </c>
      <c r="D35" s="28">
        <f>Schedules!D8</f>
        <v>199.41228792620655</v>
      </c>
      <c r="E35" s="28">
        <f>Schedules!E8</f>
        <v>176.34446642320958</v>
      </c>
      <c r="F35" s="28">
        <f>Schedules!F8</f>
        <v>216.77258934592041</v>
      </c>
      <c r="G35" s="28">
        <f>Schedules!G8</f>
        <v>221.90101981310539</v>
      </c>
      <c r="H35" s="28">
        <f>Schedules!H8</f>
        <v>220</v>
      </c>
      <c r="I35" s="28">
        <f>Schedules!I8</f>
        <v>220</v>
      </c>
      <c r="J35" s="28">
        <f>Schedules!J8</f>
        <v>220</v>
      </c>
      <c r="K35" s="28">
        <f>Schedules!K8</f>
        <v>220</v>
      </c>
      <c r="L35" s="28">
        <f>Schedules!L8</f>
        <v>220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L91"/>
  <sheetViews>
    <sheetView tabSelected="1" workbookViewId="0">
      <pane xSplit="2" ySplit="25" topLeftCell="C26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8" customWidth="1"/>
    <col min="2" max="2" width="10" customWidth="1"/>
    <col min="3" max="12" width="13" customWidth="1"/>
  </cols>
  <sheetData>
    <row r="1" spans="1:12" ht="19.5" x14ac:dyDescent="0.45">
      <c r="A1" s="9" t="s">
        <v>95</v>
      </c>
    </row>
    <row r="2" spans="1:12" x14ac:dyDescent="0.35">
      <c r="A2" s="10" t="s">
        <v>96</v>
      </c>
    </row>
    <row r="4" spans="1:12" x14ac:dyDescent="0.35">
      <c r="A4" s="29" t="s">
        <v>97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x14ac:dyDescent="0.35">
      <c r="A5" s="4" t="s">
        <v>98</v>
      </c>
      <c r="C5" s="31">
        <v>2</v>
      </c>
    </row>
    <row r="6" spans="1:12" x14ac:dyDescent="0.35">
      <c r="A6" s="5" t="s">
        <v>99</v>
      </c>
      <c r="C6" s="32" t="str">
        <f>CHOOSE($C$5,"Bear","Base","Bull")</f>
        <v>Base</v>
      </c>
    </row>
    <row r="7" spans="1:12" x14ac:dyDescent="0.35">
      <c r="A7" s="4" t="s">
        <v>100</v>
      </c>
      <c r="C7" s="31">
        <v>1</v>
      </c>
      <c r="D7" s="10" t="str">
        <f>IF($C$7=1,"Operating: Netted in NWC, interest in EBIT, NOT in EV bridge","Debt-like: Excluded from NWC, DEDUCTED in EV bridge, interest in financing")</f>
        <v>Operating: Netted in NWC, interest in EBIT, NOT in EV bridge</v>
      </c>
    </row>
    <row r="8" spans="1:12" x14ac:dyDescent="0.35">
      <c r="A8" s="5" t="s">
        <v>101</v>
      </c>
      <c r="C8" s="33" t="s">
        <v>102</v>
      </c>
    </row>
    <row r="9" spans="1:12" x14ac:dyDescent="0.35">
      <c r="A9" s="4" t="s">
        <v>103</v>
      </c>
      <c r="C9" s="34">
        <v>4798.5</v>
      </c>
      <c r="D9" s="10" t="s">
        <v>104</v>
      </c>
    </row>
    <row r="10" spans="1:12" x14ac:dyDescent="0.35">
      <c r="A10" s="5" t="s">
        <v>105</v>
      </c>
      <c r="C10" s="34">
        <v>88.78</v>
      </c>
    </row>
    <row r="12" spans="1:12" x14ac:dyDescent="0.35">
      <c r="A12" s="29" t="s">
        <v>106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</row>
    <row r="13" spans="1:12" x14ac:dyDescent="0.35">
      <c r="A13" s="5" t="s">
        <v>107</v>
      </c>
      <c r="C13" s="35">
        <v>6.5000000000000002E-2</v>
      </c>
    </row>
    <row r="14" spans="1:12" x14ac:dyDescent="0.35">
      <c r="A14" s="5" t="s">
        <v>108</v>
      </c>
      <c r="C14" s="35">
        <v>0.06</v>
      </c>
    </row>
    <row r="15" spans="1:12" x14ac:dyDescent="0.35">
      <c r="A15" s="5" t="s">
        <v>109</v>
      </c>
      <c r="C15" s="34">
        <v>0.9</v>
      </c>
    </row>
    <row r="16" spans="1:12" x14ac:dyDescent="0.35">
      <c r="A16" s="5" t="s">
        <v>110</v>
      </c>
      <c r="C16" s="35">
        <v>7.4999999999999997E-2</v>
      </c>
    </row>
    <row r="17" spans="1:12" x14ac:dyDescent="0.35">
      <c r="A17" s="5" t="s">
        <v>111</v>
      </c>
      <c r="C17" s="36">
        <v>0.1</v>
      </c>
    </row>
    <row r="18" spans="1:12" x14ac:dyDescent="0.35">
      <c r="A18" s="5" t="s">
        <v>112</v>
      </c>
      <c r="C18" s="35">
        <v>0.05</v>
      </c>
    </row>
    <row r="19" spans="1:12" x14ac:dyDescent="0.35">
      <c r="A19" s="5" t="s">
        <v>113</v>
      </c>
      <c r="C19" s="36">
        <v>0.2</v>
      </c>
    </row>
    <row r="21" spans="1:12" x14ac:dyDescent="0.35">
      <c r="A21" s="4" t="s">
        <v>114</v>
      </c>
      <c r="C21" s="37" t="s">
        <v>115</v>
      </c>
      <c r="D21" s="37" t="s">
        <v>116</v>
      </c>
      <c r="E21" s="37" t="s">
        <v>117</v>
      </c>
      <c r="F21" s="37" t="s">
        <v>118</v>
      </c>
    </row>
    <row r="22" spans="1:12" x14ac:dyDescent="0.35">
      <c r="A22" s="5" t="s">
        <v>119</v>
      </c>
      <c r="C22" s="38">
        <v>20</v>
      </c>
      <c r="D22" s="38">
        <v>25</v>
      </c>
      <c r="E22" s="38">
        <v>30</v>
      </c>
      <c r="F22" s="39">
        <f>CHOOSE($C$5,C22,D22,E22)</f>
        <v>25</v>
      </c>
    </row>
    <row r="24" spans="1:12" x14ac:dyDescent="0.35">
      <c r="A24" s="29" t="s">
        <v>120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 x14ac:dyDescent="0.35">
      <c r="A25" s="18" t="s">
        <v>121</v>
      </c>
      <c r="B25" s="2"/>
      <c r="C25" s="20" t="s">
        <v>62</v>
      </c>
      <c r="D25" s="20" t="s">
        <v>63</v>
      </c>
      <c r="E25" s="20" t="s">
        <v>64</v>
      </c>
      <c r="F25" s="20" t="s">
        <v>65</v>
      </c>
      <c r="G25" s="20" t="s">
        <v>66</v>
      </c>
      <c r="H25" s="21" t="s">
        <v>67</v>
      </c>
      <c r="I25" s="21" t="s">
        <v>68</v>
      </c>
      <c r="J25" s="21" t="s">
        <v>69</v>
      </c>
      <c r="K25" s="21" t="s">
        <v>70</v>
      </c>
      <c r="L25" s="21" t="s">
        <v>71</v>
      </c>
    </row>
    <row r="26" spans="1:12" x14ac:dyDescent="0.35">
      <c r="A26" s="4" t="s">
        <v>122</v>
      </c>
      <c r="C26" s="40">
        <f>IS!C6</f>
        <v>0</v>
      </c>
      <c r="D26" s="40">
        <f>IS!D6</f>
        <v>0.40890308691274013</v>
      </c>
      <c r="E26" s="40">
        <f>IS!E6</f>
        <v>0.25900184842883545</v>
      </c>
      <c r="F26" s="40">
        <f>IS!F6</f>
        <v>0.18346253229974163</v>
      </c>
      <c r="G26" s="40">
        <f>IS!G6</f>
        <v>0.448723038242689</v>
      </c>
      <c r="H26" s="41">
        <f>CHOOSE($C$5,H27,H28,H29)</f>
        <v>0.18</v>
      </c>
      <c r="I26" s="41">
        <f>CHOOSE($C$5,I27,I28,I29)</f>
        <v>0.15</v>
      </c>
      <c r="J26" s="41">
        <f>CHOOSE($C$5,J27,J28,J29)</f>
        <v>0.13</v>
      </c>
      <c r="K26" s="41">
        <f>CHOOSE($C$5,K27,K28,K29)</f>
        <v>0.12</v>
      </c>
      <c r="L26" s="41">
        <f>CHOOSE($C$5,L27,L28,L29)</f>
        <v>0.11</v>
      </c>
    </row>
    <row r="27" spans="1:12" x14ac:dyDescent="0.35">
      <c r="A27" s="5" t="s">
        <v>123</v>
      </c>
      <c r="H27" s="42">
        <v>0.1</v>
      </c>
      <c r="I27" s="42">
        <v>0.08</v>
      </c>
      <c r="J27" s="42">
        <v>0.08</v>
      </c>
      <c r="K27" s="42">
        <v>7.0000000000000007E-2</v>
      </c>
      <c r="L27" s="42">
        <v>7.0000000000000007E-2</v>
      </c>
    </row>
    <row r="28" spans="1:12" x14ac:dyDescent="0.35">
      <c r="A28" s="5" t="s">
        <v>124</v>
      </c>
      <c r="H28" s="42">
        <v>0.18</v>
      </c>
      <c r="I28" s="42">
        <v>0.15</v>
      </c>
      <c r="J28" s="42">
        <v>0.13</v>
      </c>
      <c r="K28" s="42">
        <v>0.12</v>
      </c>
      <c r="L28" s="42">
        <v>0.11</v>
      </c>
    </row>
    <row r="29" spans="1:12" x14ac:dyDescent="0.35">
      <c r="A29" s="5" t="s">
        <v>125</v>
      </c>
      <c r="H29" s="42">
        <v>0.22</v>
      </c>
      <c r="I29" s="42">
        <v>0.18</v>
      </c>
      <c r="J29" s="42">
        <v>0.16</v>
      </c>
      <c r="K29" s="42">
        <v>0.14000000000000001</v>
      </c>
      <c r="L29" s="42">
        <v>0.13</v>
      </c>
    </row>
    <row r="31" spans="1:12" x14ac:dyDescent="0.35">
      <c r="A31" s="4" t="s">
        <v>126</v>
      </c>
      <c r="C31" s="40">
        <f>IS!C9</f>
        <v>0.24855029688530852</v>
      </c>
      <c r="D31" s="40">
        <f>IS!D9</f>
        <v>0.25187923598274797</v>
      </c>
      <c r="E31" s="40">
        <f>IS!E9</f>
        <v>0.22809490251350717</v>
      </c>
      <c r="F31" s="40">
        <f>IS!F9</f>
        <v>0.21503242027259495</v>
      </c>
      <c r="G31" s="40">
        <f>IS!G9</f>
        <v>0.19726205699671173</v>
      </c>
      <c r="H31" s="41">
        <f>CHOOSE($C$5,H32,H33,H34)</f>
        <v>0.19700000000000001</v>
      </c>
      <c r="I31" s="41">
        <f>CHOOSE($C$5,I32,I33,I34)</f>
        <v>0.19800000000000001</v>
      </c>
      <c r="J31" s="41">
        <f>CHOOSE($C$5,J32,J33,J34)</f>
        <v>0.19900000000000001</v>
      </c>
      <c r="K31" s="41">
        <f>CHOOSE($C$5,K32,K33,K34)</f>
        <v>0.2</v>
      </c>
      <c r="L31" s="41">
        <f>CHOOSE($C$5,L32,L33,L34)</f>
        <v>0.2</v>
      </c>
    </row>
    <row r="32" spans="1:12" x14ac:dyDescent="0.35">
      <c r="A32" s="5" t="s">
        <v>123</v>
      </c>
      <c r="H32" s="42">
        <v>0.19</v>
      </c>
      <c r="I32" s="42">
        <v>0.189</v>
      </c>
      <c r="J32" s="42">
        <v>0.188</v>
      </c>
      <c r="K32" s="42">
        <v>0.187</v>
      </c>
      <c r="L32" s="42">
        <v>0.187</v>
      </c>
    </row>
    <row r="33" spans="1:12" x14ac:dyDescent="0.35">
      <c r="A33" s="5" t="s">
        <v>124</v>
      </c>
      <c r="H33" s="42">
        <v>0.19700000000000001</v>
      </c>
      <c r="I33" s="42">
        <v>0.19800000000000001</v>
      </c>
      <c r="J33" s="42">
        <v>0.19900000000000001</v>
      </c>
      <c r="K33" s="42">
        <v>0.2</v>
      </c>
      <c r="L33" s="42">
        <v>0.2</v>
      </c>
    </row>
    <row r="34" spans="1:12" x14ac:dyDescent="0.35">
      <c r="A34" s="5" t="s">
        <v>125</v>
      </c>
      <c r="H34" s="42">
        <v>0.2</v>
      </c>
      <c r="I34" s="42">
        <v>0.20300000000000001</v>
      </c>
      <c r="J34" s="42">
        <v>0.20599999999999999</v>
      </c>
      <c r="K34" s="42">
        <v>0.20799999999999999</v>
      </c>
      <c r="L34" s="42">
        <v>0.21</v>
      </c>
    </row>
    <row r="36" spans="1:12" x14ac:dyDescent="0.35">
      <c r="A36" s="4" t="s">
        <v>127</v>
      </c>
      <c r="C36" s="43">
        <f>IS!C11</f>
        <v>4.6841904232785864E-2</v>
      </c>
      <c r="D36" s="43">
        <f>IS!D11</f>
        <v>4.0591497227356749E-2</v>
      </c>
      <c r="E36" s="43">
        <f>IS!E11</f>
        <v>3.6488920209850444E-2</v>
      </c>
      <c r="F36" s="43">
        <f>IS!F11</f>
        <v>3.566229985443959E-2</v>
      </c>
      <c r="G36" s="43">
        <f>IS!G11</f>
        <v>3.0610613810741687E-2</v>
      </c>
      <c r="H36" s="44">
        <f>CHOOSE($C$5,H37,H38,H39)</f>
        <v>0.03</v>
      </c>
      <c r="I36" s="44">
        <f>CHOOSE($C$5,I37,I38,I39)</f>
        <v>2.9499999999999998E-2</v>
      </c>
      <c r="J36" s="44">
        <f>CHOOSE($C$5,J37,J38,J39)</f>
        <v>2.9000000000000001E-2</v>
      </c>
      <c r="K36" s="44">
        <f>CHOOSE($C$5,K37,K38,K39)</f>
        <v>2.9000000000000001E-2</v>
      </c>
      <c r="L36" s="44">
        <f>CHOOSE($C$5,L37,L38,L39)</f>
        <v>2.8500000000000001E-2</v>
      </c>
    </row>
    <row r="37" spans="1:12" x14ac:dyDescent="0.35">
      <c r="A37" s="5" t="s">
        <v>123</v>
      </c>
      <c r="H37" s="45">
        <v>3.1E-2</v>
      </c>
      <c r="I37" s="45">
        <v>3.1E-2</v>
      </c>
      <c r="J37" s="45">
        <v>3.1E-2</v>
      </c>
      <c r="K37" s="45">
        <v>3.1E-2</v>
      </c>
      <c r="L37" s="45">
        <v>3.1E-2</v>
      </c>
    </row>
    <row r="38" spans="1:12" x14ac:dyDescent="0.35">
      <c r="A38" s="5" t="s">
        <v>124</v>
      </c>
      <c r="H38" s="45">
        <v>0.03</v>
      </c>
      <c r="I38" s="45">
        <v>2.9499999999999998E-2</v>
      </c>
      <c r="J38" s="45">
        <v>2.9000000000000001E-2</v>
      </c>
      <c r="K38" s="45">
        <v>2.9000000000000001E-2</v>
      </c>
      <c r="L38" s="45">
        <v>2.8500000000000001E-2</v>
      </c>
    </row>
    <row r="39" spans="1:12" x14ac:dyDescent="0.35">
      <c r="A39" s="5" t="s">
        <v>125</v>
      </c>
      <c r="H39" s="45">
        <v>2.9499999999999998E-2</v>
      </c>
      <c r="I39" s="45">
        <v>2.9000000000000001E-2</v>
      </c>
      <c r="J39" s="45">
        <v>2.8500000000000001E-2</v>
      </c>
      <c r="K39" s="45">
        <v>2.8000000000000001E-2</v>
      </c>
      <c r="L39" s="45">
        <v>2.8000000000000001E-2</v>
      </c>
    </row>
    <row r="41" spans="1:12" x14ac:dyDescent="0.35">
      <c r="A41" s="4" t="s">
        <v>128</v>
      </c>
      <c r="C41" s="43">
        <f>IS!C13</f>
        <v>8.5697420049307263E-2</v>
      </c>
      <c r="D41" s="43">
        <f>IS!D13</f>
        <v>9.1041281577325939E-2</v>
      </c>
      <c r="E41" s="43">
        <f>IS!E13</f>
        <v>8.8011901965390341E-2</v>
      </c>
      <c r="F41" s="43">
        <f>IS!F13</f>
        <v>8.5185920338758769E-2</v>
      </c>
      <c r="G41" s="43">
        <f>IS!G13</f>
        <v>7.1257307270734385E-2</v>
      </c>
      <c r="H41" s="44">
        <f>CHOOSE($C$5,H42,H43,H44)</f>
        <v>7.0999999999999994E-2</v>
      </c>
      <c r="I41" s="44">
        <f>CHOOSE($C$5,I42,I43,I44)</f>
        <v>7.0499999999999993E-2</v>
      </c>
      <c r="J41" s="44">
        <f>CHOOSE($C$5,J42,J43,J44)</f>
        <v>7.0000000000000007E-2</v>
      </c>
      <c r="K41" s="44">
        <f>CHOOSE($C$5,K42,K43,K44)</f>
        <v>7.0000000000000007E-2</v>
      </c>
      <c r="L41" s="44">
        <f>CHOOSE($C$5,L42,L43,L44)</f>
        <v>6.9500000000000006E-2</v>
      </c>
    </row>
    <row r="42" spans="1:12" x14ac:dyDescent="0.35">
      <c r="A42" s="5" t="s">
        <v>123</v>
      </c>
      <c r="H42" s="45">
        <v>7.2499999999999995E-2</v>
      </c>
      <c r="I42" s="45">
        <v>7.2499999999999995E-2</v>
      </c>
      <c r="J42" s="45">
        <v>7.2499999999999995E-2</v>
      </c>
      <c r="K42" s="45">
        <v>7.2499999999999995E-2</v>
      </c>
      <c r="L42" s="45">
        <v>7.2499999999999995E-2</v>
      </c>
    </row>
    <row r="43" spans="1:12" x14ac:dyDescent="0.35">
      <c r="A43" s="5" t="s">
        <v>124</v>
      </c>
      <c r="H43" s="45">
        <v>7.0999999999999994E-2</v>
      </c>
      <c r="I43" s="45">
        <v>7.0499999999999993E-2</v>
      </c>
      <c r="J43" s="45">
        <v>7.0000000000000007E-2</v>
      </c>
      <c r="K43" s="45">
        <v>7.0000000000000007E-2</v>
      </c>
      <c r="L43" s="45">
        <v>6.9500000000000006E-2</v>
      </c>
    </row>
    <row r="44" spans="1:12" x14ac:dyDescent="0.35">
      <c r="A44" s="5" t="s">
        <v>125</v>
      </c>
      <c r="H44" s="45">
        <v>7.0000000000000007E-2</v>
      </c>
      <c r="I44" s="45">
        <v>6.9500000000000006E-2</v>
      </c>
      <c r="J44" s="45">
        <v>6.9000000000000006E-2</v>
      </c>
      <c r="K44" s="45">
        <v>6.8500000000000005E-2</v>
      </c>
      <c r="L44" s="45">
        <v>6.8000000000000005E-2</v>
      </c>
    </row>
    <row r="46" spans="1:12" x14ac:dyDescent="0.35">
      <c r="A46" s="4" t="s">
        <v>129</v>
      </c>
      <c r="C46" s="43">
        <f>Schedules!C30</f>
        <v>7.7780478488836419E-3</v>
      </c>
      <c r="D46" s="43">
        <f>Schedules!D30</f>
        <v>1.0646950092421443E-2</v>
      </c>
      <c r="E46" s="43">
        <f>Schedules!E30</f>
        <v>1.3526740270926317E-2</v>
      </c>
      <c r="F46" s="43">
        <f>Schedules!F30</f>
        <v>8.1712319703586087E-3</v>
      </c>
      <c r="G46" s="43">
        <f>Schedules!G30</f>
        <v>1.0298684691267811E-2</v>
      </c>
      <c r="H46" s="44">
        <f>CHOOSE($C$5,H47,H48,H49)</f>
        <v>1.2E-2</v>
      </c>
      <c r="I46" s="44">
        <f>CHOOSE($C$5,I47,I48,I49)</f>
        <v>1.2E-2</v>
      </c>
      <c r="J46" s="44">
        <f>CHOOSE($C$5,J47,J48,J49)</f>
        <v>1.2E-2</v>
      </c>
      <c r="K46" s="44">
        <f>CHOOSE($C$5,K47,K48,K49)</f>
        <v>1.2E-2</v>
      </c>
      <c r="L46" s="44">
        <f>CHOOSE($C$5,L47,L48,L49)</f>
        <v>1.2E-2</v>
      </c>
    </row>
    <row r="47" spans="1:12" x14ac:dyDescent="0.35">
      <c r="A47" s="5" t="s">
        <v>123</v>
      </c>
      <c r="H47" s="45">
        <v>0.01</v>
      </c>
      <c r="I47" s="45">
        <v>0.01</v>
      </c>
      <c r="J47" s="45">
        <v>0.01</v>
      </c>
      <c r="K47" s="45">
        <v>0.01</v>
      </c>
      <c r="L47" s="45">
        <v>0.01</v>
      </c>
    </row>
    <row r="48" spans="1:12" x14ac:dyDescent="0.35">
      <c r="A48" s="5" t="s">
        <v>124</v>
      </c>
      <c r="H48" s="45">
        <v>1.2E-2</v>
      </c>
      <c r="I48" s="45">
        <v>1.2E-2</v>
      </c>
      <c r="J48" s="45">
        <v>1.2E-2</v>
      </c>
      <c r="K48" s="45">
        <v>1.2E-2</v>
      </c>
      <c r="L48" s="45">
        <v>1.2E-2</v>
      </c>
    </row>
    <row r="49" spans="1:12" x14ac:dyDescent="0.35">
      <c r="A49" s="5" t="s">
        <v>125</v>
      </c>
      <c r="H49" s="45">
        <v>1.4E-2</v>
      </c>
      <c r="I49" s="45">
        <v>1.4E-2</v>
      </c>
      <c r="J49" s="45">
        <v>1.4E-2</v>
      </c>
      <c r="K49" s="45">
        <v>1.4E-2</v>
      </c>
      <c r="L49" s="45">
        <v>1.4E-2</v>
      </c>
    </row>
    <row r="51" spans="1:12" x14ac:dyDescent="0.35">
      <c r="A51" s="4" t="s">
        <v>130</v>
      </c>
      <c r="C51" s="46">
        <f>Schedules!C8</f>
        <v>229.53121389954254</v>
      </c>
      <c r="D51" s="46">
        <f>Schedules!D8</f>
        <v>199.41228792620655</v>
      </c>
      <c r="E51" s="46">
        <f>Schedules!E8</f>
        <v>176.34446642320958</v>
      </c>
      <c r="F51" s="46">
        <f>Schedules!F8</f>
        <v>216.77258934592041</v>
      </c>
      <c r="G51" s="46">
        <f>Schedules!G8</f>
        <v>221.90101981310539</v>
      </c>
      <c r="H51" s="47">
        <f>CHOOSE($C$5,H52,H53,H54)</f>
        <v>220</v>
      </c>
      <c r="I51" s="47">
        <f>CHOOSE($C$5,I52,I53,I54)</f>
        <v>220</v>
      </c>
      <c r="J51" s="47">
        <f>CHOOSE($C$5,J52,J53,J54)</f>
        <v>220</v>
      </c>
      <c r="K51" s="47">
        <f>CHOOSE($C$5,K52,K53,K54)</f>
        <v>220</v>
      </c>
      <c r="L51" s="47">
        <f>CHOOSE($C$5,L52,L53,L54)</f>
        <v>220</v>
      </c>
    </row>
    <row r="52" spans="1:12" x14ac:dyDescent="0.35">
      <c r="A52" s="5" t="s">
        <v>123</v>
      </c>
      <c r="H52" s="48">
        <v>235</v>
      </c>
      <c r="I52" s="48">
        <v>238</v>
      </c>
      <c r="J52" s="48">
        <v>240</v>
      </c>
      <c r="K52" s="48">
        <v>240</v>
      </c>
      <c r="L52" s="48">
        <v>240</v>
      </c>
    </row>
    <row r="53" spans="1:12" x14ac:dyDescent="0.35">
      <c r="A53" s="5" t="s">
        <v>124</v>
      </c>
      <c r="H53" s="48">
        <v>220</v>
      </c>
      <c r="I53" s="48">
        <v>220</v>
      </c>
      <c r="J53" s="48">
        <v>220</v>
      </c>
      <c r="K53" s="48">
        <v>220</v>
      </c>
      <c r="L53" s="48">
        <v>220</v>
      </c>
    </row>
    <row r="54" spans="1:12" x14ac:dyDescent="0.35">
      <c r="A54" s="5" t="s">
        <v>125</v>
      </c>
      <c r="H54" s="48">
        <v>215</v>
      </c>
      <c r="I54" s="48">
        <v>215</v>
      </c>
      <c r="J54" s="48">
        <v>215</v>
      </c>
      <c r="K54" s="48">
        <v>215</v>
      </c>
      <c r="L54" s="48">
        <v>215</v>
      </c>
    </row>
    <row r="56" spans="1:12" x14ac:dyDescent="0.35">
      <c r="A56" s="4" t="s">
        <v>131</v>
      </c>
      <c r="C56" s="46">
        <f>Schedules!C10</f>
        <v>21.824777043574695</v>
      </c>
      <c r="D56" s="46">
        <f>Schedules!D10</f>
        <v>14.597595124361719</v>
      </c>
      <c r="E56" s="46">
        <f>Schedules!E10</f>
        <v>13.051582471089471</v>
      </c>
      <c r="F56" s="46">
        <f>Schedules!F10</f>
        <v>15.098090863115308</v>
      </c>
      <c r="G56" s="46">
        <f>Schedules!G10</f>
        <v>14.868505269745546</v>
      </c>
      <c r="H56" s="47">
        <f>CHOOSE($C$5,H57,H58,H59)</f>
        <v>15</v>
      </c>
      <c r="I56" s="47">
        <f>CHOOSE($C$5,I57,I58,I59)</f>
        <v>15</v>
      </c>
      <c r="J56" s="47">
        <f>CHOOSE($C$5,J57,J58,J59)</f>
        <v>15</v>
      </c>
      <c r="K56" s="47">
        <f>CHOOSE($C$5,K57,K58,K59)</f>
        <v>15</v>
      </c>
      <c r="L56" s="47">
        <f>CHOOSE($C$5,L57,L58,L59)</f>
        <v>15</v>
      </c>
    </row>
    <row r="57" spans="1:12" x14ac:dyDescent="0.35">
      <c r="A57" s="5" t="s">
        <v>123</v>
      </c>
      <c r="H57" s="48">
        <v>13</v>
      </c>
      <c r="I57" s="48">
        <v>13</v>
      </c>
      <c r="J57" s="48">
        <v>13</v>
      </c>
      <c r="K57" s="48">
        <v>13</v>
      </c>
      <c r="L57" s="48">
        <v>13</v>
      </c>
    </row>
    <row r="58" spans="1:12" x14ac:dyDescent="0.35">
      <c r="A58" s="5" t="s">
        <v>124</v>
      </c>
      <c r="H58" s="48">
        <v>15</v>
      </c>
      <c r="I58" s="48">
        <v>15</v>
      </c>
      <c r="J58" s="48">
        <v>15</v>
      </c>
      <c r="K58" s="48">
        <v>15</v>
      </c>
      <c r="L58" s="48">
        <v>15</v>
      </c>
    </row>
    <row r="59" spans="1:12" x14ac:dyDescent="0.35">
      <c r="A59" s="5" t="s">
        <v>125</v>
      </c>
      <c r="H59" s="48">
        <v>16</v>
      </c>
      <c r="I59" s="48">
        <v>16</v>
      </c>
      <c r="J59" s="48">
        <v>16</v>
      </c>
      <c r="K59" s="48">
        <v>16</v>
      </c>
      <c r="L59" s="48">
        <v>16</v>
      </c>
    </row>
    <row r="61" spans="1:12" x14ac:dyDescent="0.35">
      <c r="A61" s="4" t="s">
        <v>132</v>
      </c>
      <c r="C61" s="40">
        <f>Schedules!C22</f>
        <v>0.39664927621426999</v>
      </c>
      <c r="D61" s="40">
        <f>Schedules!D22</f>
        <v>0.319524843222383</v>
      </c>
      <c r="E61" s="40">
        <f>Schedules!E22</f>
        <v>0.28035273738911343</v>
      </c>
      <c r="F61" s="40">
        <f>Schedules!F22</f>
        <v>0.27710757876809539</v>
      </c>
      <c r="G61" s="40">
        <f>Schedules!G22</f>
        <v>0.37596799475937581</v>
      </c>
      <c r="H61" s="41">
        <f>CHOOSE($C$5,H62,H63,H64)</f>
        <v>0.37</v>
      </c>
      <c r="I61" s="41">
        <f>CHOOSE($C$5,I62,I63,I64)</f>
        <v>0.37</v>
      </c>
      <c r="J61" s="41">
        <f>CHOOSE($C$5,J62,J63,J64)</f>
        <v>0.37</v>
      </c>
      <c r="K61" s="41">
        <f>CHOOSE($C$5,K62,K63,K64)</f>
        <v>0.37</v>
      </c>
      <c r="L61" s="41">
        <f>CHOOSE($C$5,L62,L63,L64)</f>
        <v>0.37</v>
      </c>
    </row>
    <row r="62" spans="1:12" x14ac:dyDescent="0.35">
      <c r="A62" s="5" t="s">
        <v>123</v>
      </c>
      <c r="H62" s="42">
        <v>0.33</v>
      </c>
      <c r="I62" s="42">
        <v>0.33</v>
      </c>
      <c r="J62" s="42">
        <v>0.33</v>
      </c>
      <c r="K62" s="42">
        <v>0.33</v>
      </c>
      <c r="L62" s="42">
        <v>0.33</v>
      </c>
    </row>
    <row r="63" spans="1:12" x14ac:dyDescent="0.35">
      <c r="A63" s="5" t="s">
        <v>124</v>
      </c>
      <c r="H63" s="42">
        <v>0.37</v>
      </c>
      <c r="I63" s="42">
        <v>0.37</v>
      </c>
      <c r="J63" s="42">
        <v>0.37</v>
      </c>
      <c r="K63" s="42">
        <v>0.37</v>
      </c>
      <c r="L63" s="42">
        <v>0.37</v>
      </c>
    </row>
    <row r="64" spans="1:12" x14ac:dyDescent="0.35">
      <c r="A64" s="5" t="s">
        <v>125</v>
      </c>
      <c r="H64" s="42">
        <v>0.38</v>
      </c>
      <c r="I64" s="42">
        <v>0.38</v>
      </c>
      <c r="J64" s="42">
        <v>0.38</v>
      </c>
      <c r="K64" s="42">
        <v>0.38</v>
      </c>
      <c r="L64" s="42">
        <v>0.38</v>
      </c>
    </row>
    <row r="66" spans="1:12" x14ac:dyDescent="0.35">
      <c r="A66" s="4" t="s">
        <v>133</v>
      </c>
      <c r="C66" s="43">
        <f>Schedules!C71</f>
        <v>0</v>
      </c>
      <c r="D66" s="43">
        <f>Schedules!D71</f>
        <v>0</v>
      </c>
      <c r="E66" s="43">
        <f>Schedules!E71</f>
        <v>0</v>
      </c>
      <c r="F66" s="43">
        <f>Schedules!F71</f>
        <v>7.0298545547333502E-2</v>
      </c>
      <c r="G66" s="43">
        <f>Schedules!G71</f>
        <v>5.9303908224771537E-2</v>
      </c>
      <c r="H66" s="44">
        <f>CHOOSE($C$5,H67,H68,H69)</f>
        <v>5.8000000000000003E-2</v>
      </c>
      <c r="I66" s="44">
        <f>CHOOSE($C$5,I67,I68,I69)</f>
        <v>5.8000000000000003E-2</v>
      </c>
      <c r="J66" s="44">
        <f>CHOOSE($C$5,J67,J68,J69)</f>
        <v>5.8000000000000003E-2</v>
      </c>
      <c r="K66" s="44">
        <f>CHOOSE($C$5,K67,K68,K69)</f>
        <v>5.8000000000000003E-2</v>
      </c>
      <c r="L66" s="44">
        <f>CHOOSE($C$5,L67,L68,L69)</f>
        <v>5.8000000000000003E-2</v>
      </c>
    </row>
    <row r="67" spans="1:12" x14ac:dyDescent="0.35">
      <c r="A67" s="5" t="s">
        <v>123</v>
      </c>
      <c r="H67" s="45">
        <v>6.6000000000000003E-2</v>
      </c>
      <c r="I67" s="45">
        <v>6.6000000000000003E-2</v>
      </c>
      <c r="J67" s="45">
        <v>6.6000000000000003E-2</v>
      </c>
      <c r="K67" s="45">
        <v>6.6000000000000003E-2</v>
      </c>
      <c r="L67" s="45">
        <v>6.6000000000000003E-2</v>
      </c>
    </row>
    <row r="68" spans="1:12" x14ac:dyDescent="0.35">
      <c r="A68" s="5" t="s">
        <v>124</v>
      </c>
      <c r="H68" s="45">
        <v>5.8000000000000003E-2</v>
      </c>
      <c r="I68" s="45">
        <v>5.8000000000000003E-2</v>
      </c>
      <c r="J68" s="45">
        <v>5.8000000000000003E-2</v>
      </c>
      <c r="K68" s="45">
        <v>5.8000000000000003E-2</v>
      </c>
      <c r="L68" s="45">
        <v>5.8000000000000003E-2</v>
      </c>
    </row>
    <row r="69" spans="1:12" x14ac:dyDescent="0.35">
      <c r="A69" s="5" t="s">
        <v>125</v>
      </c>
      <c r="H69" s="45">
        <v>5.1999999999999998E-2</v>
      </c>
      <c r="I69" s="45">
        <v>5.1999999999999998E-2</v>
      </c>
      <c r="J69" s="45">
        <v>5.1999999999999998E-2</v>
      </c>
      <c r="K69" s="45">
        <v>5.1999999999999998E-2</v>
      </c>
      <c r="L69" s="45">
        <v>5.1999999999999998E-2</v>
      </c>
    </row>
    <row r="72" spans="1:12" x14ac:dyDescent="0.35">
      <c r="A72" s="29" t="s">
        <v>134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</row>
    <row r="73" spans="1:12" x14ac:dyDescent="0.35">
      <c r="A73" s="5" t="s">
        <v>135</v>
      </c>
      <c r="C73" s="46">
        <f>Schedules!C9</f>
        <v>7.160838918017987</v>
      </c>
      <c r="D73" s="46">
        <f>Schedules!D9</f>
        <v>6.0630930375847196</v>
      </c>
      <c r="E73" s="46">
        <f>Schedules!E9</f>
        <v>7.2737060527758199</v>
      </c>
      <c r="F73" s="46">
        <f>Schedules!F9</f>
        <v>6.4479952362048429</v>
      </c>
      <c r="G73" s="46">
        <f>Schedules!G9</f>
        <v>3.8173639020825725</v>
      </c>
      <c r="H73" s="48">
        <v>4</v>
      </c>
      <c r="I73" s="48">
        <v>4</v>
      </c>
      <c r="J73" s="48">
        <v>4</v>
      </c>
      <c r="K73" s="48">
        <v>4</v>
      </c>
      <c r="L73" s="48">
        <v>4</v>
      </c>
    </row>
    <row r="74" spans="1:12" x14ac:dyDescent="0.35">
      <c r="A74" s="5" t="s">
        <v>136</v>
      </c>
      <c r="C74" s="43">
        <f>Schedules!C14</f>
        <v>5.8752040001388936E-2</v>
      </c>
      <c r="D74" s="43">
        <f>Schedules!D14</f>
        <v>4.046826863832409E-2</v>
      </c>
      <c r="E74" s="43">
        <f>Schedules!E14</f>
        <v>4.5943935478819198E-2</v>
      </c>
      <c r="F74" s="43">
        <f>Schedules!F14</f>
        <v>3.7399100172025933E-2</v>
      </c>
      <c r="G74" s="43">
        <f>Schedules!G14</f>
        <v>3.3750456704420902E-2</v>
      </c>
      <c r="H74" s="45">
        <v>3.4000000000000002E-2</v>
      </c>
      <c r="I74" s="45">
        <v>3.4000000000000002E-2</v>
      </c>
      <c r="J74" s="45">
        <v>3.4000000000000002E-2</v>
      </c>
      <c r="K74" s="45">
        <v>3.4000000000000002E-2</v>
      </c>
      <c r="L74" s="45">
        <v>3.4000000000000002E-2</v>
      </c>
    </row>
    <row r="75" spans="1:12" x14ac:dyDescent="0.35">
      <c r="A75" s="5" t="s">
        <v>137</v>
      </c>
      <c r="C75" s="43">
        <f>Schedules!C16</f>
        <v>8.7607208583631371E-2</v>
      </c>
      <c r="D75" s="43">
        <f>Schedules!D16</f>
        <v>8.6678989525569933E-2</v>
      </c>
      <c r="E75" s="43">
        <f>Schedules!E16</f>
        <v>8.0103359173126609E-2</v>
      </c>
      <c r="F75" s="43">
        <f>Schedules!F16</f>
        <v>7.3458382956199553E-2</v>
      </c>
      <c r="G75" s="43">
        <f>Schedules!G16</f>
        <v>7.1165966386554619E-2</v>
      </c>
      <c r="H75" s="45">
        <v>7.0999999999999994E-2</v>
      </c>
      <c r="I75" s="45">
        <v>7.0999999999999994E-2</v>
      </c>
      <c r="J75" s="45">
        <v>7.0999999999999994E-2</v>
      </c>
      <c r="K75" s="45">
        <v>7.0999999999999994E-2</v>
      </c>
      <c r="L75" s="45">
        <v>7.0999999999999994E-2</v>
      </c>
    </row>
    <row r="76" spans="1:12" x14ac:dyDescent="0.35">
      <c r="A76" s="5" t="s">
        <v>138</v>
      </c>
      <c r="C76" s="43">
        <f>Schedules!C18</f>
        <v>1.5417201986180075E-2</v>
      </c>
      <c r="D76" s="43">
        <f>Schedules!D18</f>
        <v>1.4097350585335799E-2</v>
      </c>
      <c r="E76" s="43">
        <f>Schedules!E18</f>
        <v>1.327225745830397E-2</v>
      </c>
      <c r="F76" s="43">
        <f>Schedules!F18</f>
        <v>2.2098716421860527E-2</v>
      </c>
      <c r="G76" s="43">
        <f>Schedules!G18</f>
        <v>5.0305991962002194E-2</v>
      </c>
      <c r="H76" s="45">
        <v>4.5999999999999999E-2</v>
      </c>
      <c r="I76" s="45">
        <v>4.5999999999999999E-2</v>
      </c>
      <c r="J76" s="45">
        <v>4.5999999999999999E-2</v>
      </c>
      <c r="K76" s="45">
        <v>4.5999999999999999E-2</v>
      </c>
      <c r="L76" s="45">
        <v>4.5999999999999999E-2</v>
      </c>
    </row>
    <row r="77" spans="1:12" x14ac:dyDescent="0.35">
      <c r="A77" s="5" t="s">
        <v>139</v>
      </c>
      <c r="C77" s="43">
        <f>Schedules!C20</f>
        <v>8.194728983645266E-3</v>
      </c>
      <c r="D77" s="43">
        <f>Schedules!D20</f>
        <v>9.1682070240295746E-3</v>
      </c>
      <c r="E77" s="43">
        <f>Schedules!E20</f>
        <v>7.3212747631352286E-3</v>
      </c>
      <c r="F77" s="43">
        <f>Schedules!F20</f>
        <v>7.5095937541352388E-3</v>
      </c>
      <c r="G77" s="43">
        <f>Schedules!G20</f>
        <v>8.0151625867738406E-3</v>
      </c>
      <c r="H77" s="45">
        <v>8.0000000000000002E-3</v>
      </c>
      <c r="I77" s="45">
        <v>8.0000000000000002E-3</v>
      </c>
      <c r="J77" s="45">
        <v>8.0000000000000002E-3</v>
      </c>
      <c r="K77" s="45">
        <v>8.0000000000000002E-3</v>
      </c>
      <c r="L77" s="45">
        <v>8.0000000000000002E-3</v>
      </c>
    </row>
    <row r="78" spans="1:12" x14ac:dyDescent="0.35">
      <c r="A78" s="5" t="s">
        <v>140</v>
      </c>
      <c r="C78" s="43">
        <f>Schedules!C79</f>
        <v>4.7536372790721898E-2</v>
      </c>
      <c r="D78" s="43">
        <f>Schedules!D79</f>
        <v>8.0714725816389402E-2</v>
      </c>
      <c r="E78" s="43">
        <f>Schedules!E79</f>
        <v>5.4478897502153317E-2</v>
      </c>
      <c r="F78" s="43">
        <f>Schedules!F79</f>
        <v>4.1583961889638747E-2</v>
      </c>
      <c r="G78" s="43">
        <f>Schedules!G79</f>
        <v>3.7598191450493243E-2</v>
      </c>
      <c r="H78" s="45">
        <v>3.5000000000000003E-2</v>
      </c>
      <c r="I78" s="45">
        <v>3.5000000000000003E-2</v>
      </c>
      <c r="J78" s="45">
        <v>3.5000000000000003E-2</v>
      </c>
      <c r="K78" s="45">
        <v>3.5000000000000003E-2</v>
      </c>
      <c r="L78" s="45">
        <v>3.5000000000000003E-2</v>
      </c>
    </row>
    <row r="79" spans="1:12" x14ac:dyDescent="0.35">
      <c r="A79" s="5" t="s">
        <v>141</v>
      </c>
      <c r="C79" s="43">
        <f>Schedules!C57</f>
        <v>7.6044307093996316E-3</v>
      </c>
      <c r="D79" s="43">
        <f>Schedules!D57</f>
        <v>5.7178065311152184E-3</v>
      </c>
      <c r="E79" s="43">
        <f>Schedules!E57</f>
        <v>8.0064207971184721E-3</v>
      </c>
      <c r="F79" s="43">
        <f>Schedules!F57</f>
        <v>6.7321688500727806E-3</v>
      </c>
      <c r="G79" s="43">
        <f>Schedules!G57</f>
        <v>9.9675739861161856E-3</v>
      </c>
      <c r="H79" s="45">
        <v>0.01</v>
      </c>
      <c r="I79" s="45">
        <v>0.01</v>
      </c>
      <c r="J79" s="45">
        <v>0.01</v>
      </c>
      <c r="K79" s="45">
        <v>0.01</v>
      </c>
      <c r="L79" s="45">
        <v>0.01</v>
      </c>
    </row>
    <row r="80" spans="1:12" x14ac:dyDescent="0.35">
      <c r="A80" s="5" t="s">
        <v>142</v>
      </c>
      <c r="C80" s="40">
        <f>IS!C26</f>
        <v>0.24311294765840222</v>
      </c>
      <c r="D80" s="40">
        <f>IS!D26</f>
        <v>0.26377333033505734</v>
      </c>
      <c r="E80" s="40">
        <f>IS!E26</f>
        <v>0.24378109452736318</v>
      </c>
      <c r="F80" s="40">
        <f>IS!F26</f>
        <v>0.26416758544652702</v>
      </c>
      <c r="G80" s="40">
        <f>IS!G26</f>
        <v>0.25408028231142477</v>
      </c>
      <c r="H80" s="42">
        <v>0.254</v>
      </c>
      <c r="I80" s="42">
        <v>0.254</v>
      </c>
      <c r="J80" s="42">
        <v>0.254</v>
      </c>
      <c r="K80" s="42">
        <v>0.254</v>
      </c>
      <c r="L80" s="42">
        <v>0.254</v>
      </c>
    </row>
    <row r="81" spans="1:12" x14ac:dyDescent="0.35">
      <c r="A81" s="5" t="s">
        <v>143</v>
      </c>
      <c r="C81" s="40">
        <f>Schedules!C86</f>
        <v>0</v>
      </c>
      <c r="D81" s="40">
        <f>Schedules!D86</f>
        <v>0.30300272975432213</v>
      </c>
      <c r="E81" s="40">
        <f>Schedules!E86</f>
        <v>0.2712278558338424</v>
      </c>
      <c r="F81" s="40">
        <f>Schedules!F86</f>
        <v>0.2791762013729977</v>
      </c>
      <c r="G81" s="40">
        <f>Schedules!G86</f>
        <v>0.29247827389871139</v>
      </c>
      <c r="H81" s="42">
        <v>0.27</v>
      </c>
      <c r="I81" s="42">
        <v>0.27</v>
      </c>
      <c r="J81" s="42">
        <v>0.27</v>
      </c>
      <c r="K81" s="42">
        <v>0.27</v>
      </c>
      <c r="L81" s="42">
        <v>0.27</v>
      </c>
    </row>
    <row r="82" spans="1:12" x14ac:dyDescent="0.35">
      <c r="A82" s="5" t="s">
        <v>144</v>
      </c>
      <c r="C82" s="40">
        <f>Schedules!C35</f>
        <v>0</v>
      </c>
      <c r="D82" s="40">
        <f>Schedules!D35</f>
        <v>0</v>
      </c>
      <c r="E82" s="40">
        <f>Schedules!E35</f>
        <v>0</v>
      </c>
      <c r="F82" s="40">
        <f>Schedules!F35</f>
        <v>0.14895947426067907</v>
      </c>
      <c r="G82" s="40">
        <f>Schedules!G35</f>
        <v>0.16940451745379878</v>
      </c>
      <c r="H82" s="42">
        <v>0.16</v>
      </c>
      <c r="I82" s="42">
        <v>0.16</v>
      </c>
      <c r="J82" s="42">
        <v>0.16</v>
      </c>
      <c r="K82" s="42">
        <v>0.16</v>
      </c>
      <c r="L82" s="42">
        <v>0.16</v>
      </c>
    </row>
    <row r="83" spans="1:12" x14ac:dyDescent="0.35">
      <c r="A83" s="5" t="s">
        <v>145</v>
      </c>
      <c r="C83" s="40">
        <f>Schedules!C41</f>
        <v>0</v>
      </c>
      <c r="D83" s="40">
        <f>Schedules!D41</f>
        <v>0</v>
      </c>
      <c r="E83" s="40">
        <f>Schedules!E41</f>
        <v>0</v>
      </c>
      <c r="F83" s="40">
        <f>Schedules!F41</f>
        <v>0.23331173039533376</v>
      </c>
      <c r="G83" s="40">
        <f>Schedules!G41</f>
        <v>0.2406989853438557</v>
      </c>
      <c r="H83" s="42">
        <v>0.24</v>
      </c>
      <c r="I83" s="42">
        <v>0.24</v>
      </c>
      <c r="J83" s="42">
        <v>0.24</v>
      </c>
      <c r="K83" s="42">
        <v>0.24</v>
      </c>
      <c r="L83" s="42">
        <v>0.24</v>
      </c>
    </row>
    <row r="84" spans="1:12" x14ac:dyDescent="0.35">
      <c r="A84" s="5" t="s">
        <v>146</v>
      </c>
      <c r="C84" s="40">
        <f>Schedules!C46</f>
        <v>0</v>
      </c>
      <c r="D84" s="40">
        <f>Schedules!D46</f>
        <v>0</v>
      </c>
      <c r="E84" s="40">
        <f>Schedules!E46</f>
        <v>0</v>
      </c>
      <c r="F84" s="40">
        <f>Schedules!F46</f>
        <v>0.19426751592356689</v>
      </c>
      <c r="G84" s="40">
        <f>Schedules!G46</f>
        <v>0.21428571428571427</v>
      </c>
      <c r="H84" s="42">
        <v>0.12</v>
      </c>
      <c r="I84" s="42">
        <v>0.12</v>
      </c>
      <c r="J84" s="42">
        <v>0.12</v>
      </c>
      <c r="K84" s="42">
        <v>0.12</v>
      </c>
      <c r="L84" s="42">
        <v>0.12</v>
      </c>
    </row>
    <row r="85" spans="1:12" x14ac:dyDescent="0.35">
      <c r="A85" s="5" t="s">
        <v>147</v>
      </c>
      <c r="H85" s="42">
        <v>0.15</v>
      </c>
      <c r="I85" s="42">
        <v>0.15</v>
      </c>
      <c r="J85" s="42">
        <v>0.15</v>
      </c>
      <c r="K85" s="42">
        <v>0.15</v>
      </c>
      <c r="L85" s="42">
        <v>0.15</v>
      </c>
    </row>
    <row r="86" spans="1:12" x14ac:dyDescent="0.35">
      <c r="A86" s="5" t="s">
        <v>148</v>
      </c>
      <c r="C86" s="43">
        <f>Schedules!C40</f>
        <v>0</v>
      </c>
      <c r="D86" s="43">
        <f>Schedules!D40</f>
        <v>0</v>
      </c>
      <c r="E86" s="43">
        <f>Schedules!E40</f>
        <v>0</v>
      </c>
      <c r="F86" s="43">
        <f>Schedules!F40</f>
        <v>1.3398173878523224E-2</v>
      </c>
      <c r="G86" s="43">
        <f>Schedules!G40</f>
        <v>1.2673547679941543E-2</v>
      </c>
      <c r="H86" s="45">
        <v>0.01</v>
      </c>
      <c r="I86" s="45">
        <v>0.01</v>
      </c>
      <c r="J86" s="45">
        <v>0.01</v>
      </c>
      <c r="K86" s="45">
        <v>0.01</v>
      </c>
      <c r="L86" s="45">
        <v>0.01</v>
      </c>
    </row>
    <row r="87" spans="1:12" x14ac:dyDescent="0.35">
      <c r="A87" s="5" t="s">
        <v>149</v>
      </c>
      <c r="C87" s="40">
        <f>Schedules!C65</f>
        <v>0</v>
      </c>
      <c r="D87" s="40">
        <f>Schedules!D65</f>
        <v>0.18690213392200147</v>
      </c>
      <c r="E87" s="40">
        <f>Schedules!E65</f>
        <v>0.16978109983982914</v>
      </c>
      <c r="F87" s="40">
        <f>Schedules!F65</f>
        <v>0.29799914857386123</v>
      </c>
      <c r="G87" s="40">
        <f>Schedules!G65</f>
        <v>0.3226408056695263</v>
      </c>
      <c r="H87" s="42">
        <v>0.32</v>
      </c>
      <c r="I87" s="42">
        <v>0.32</v>
      </c>
      <c r="J87" s="42">
        <v>0.32</v>
      </c>
      <c r="K87" s="42">
        <v>0.32</v>
      </c>
      <c r="L87" s="42">
        <v>0.32</v>
      </c>
    </row>
    <row r="88" spans="1:12" x14ac:dyDescent="0.35">
      <c r="A88" s="5" t="s">
        <v>150</v>
      </c>
      <c r="C88" s="43">
        <f>Schedules!C64</f>
        <v>0</v>
      </c>
      <c r="D88" s="43">
        <f>Schedules!D64</f>
        <v>0</v>
      </c>
      <c r="E88" s="43">
        <f>Schedules!E64</f>
        <v>0</v>
      </c>
      <c r="F88" s="43">
        <f>Schedules!F64</f>
        <v>9.4508301404853126E-2</v>
      </c>
      <c r="G88" s="43">
        <f>Schedules!G64</f>
        <v>9.2129802312569939E-2</v>
      </c>
      <c r="H88" s="45">
        <v>0.09</v>
      </c>
      <c r="I88" s="45">
        <v>0.09</v>
      </c>
      <c r="J88" s="45">
        <v>0.09</v>
      </c>
      <c r="K88" s="45">
        <v>0.09</v>
      </c>
      <c r="L88" s="45">
        <v>0.09</v>
      </c>
    </row>
    <row r="89" spans="1:12" x14ac:dyDescent="0.35">
      <c r="A89" s="5" t="s">
        <v>151</v>
      </c>
      <c r="C89" s="43">
        <f>Schedules!C72</f>
        <v>0</v>
      </c>
      <c r="D89" s="43">
        <f>Schedules!D72</f>
        <v>0</v>
      </c>
      <c r="E89" s="43">
        <f>Schedules!E72</f>
        <v>0</v>
      </c>
      <c r="F89" s="43">
        <f>Schedules!F72</f>
        <v>3.2578168882231792E-2</v>
      </c>
      <c r="G89" s="43">
        <f>Schedules!G72</f>
        <v>4.0973111395646605E-2</v>
      </c>
      <c r="H89" s="45">
        <v>2.9000000000000001E-2</v>
      </c>
      <c r="I89" s="45">
        <v>2.9000000000000001E-2</v>
      </c>
      <c r="J89" s="45">
        <v>2.9000000000000001E-2</v>
      </c>
      <c r="K89" s="45">
        <v>2.9000000000000001E-2</v>
      </c>
      <c r="L89" s="45">
        <v>2.9000000000000001E-2</v>
      </c>
    </row>
    <row r="90" spans="1:12" x14ac:dyDescent="0.35">
      <c r="A90" s="5" t="s">
        <v>152</v>
      </c>
      <c r="C90" s="40">
        <f>Schedules!C81</f>
        <v>0</v>
      </c>
      <c r="D90" s="40">
        <f>Schedules!D81</f>
        <v>0.16497054097482591</v>
      </c>
      <c r="E90" s="40">
        <f>Schedules!E81</f>
        <v>0.1381544841886988</v>
      </c>
      <c r="F90" s="40">
        <f>Schedules!F81</f>
        <v>0.12554895375871869</v>
      </c>
      <c r="G90" s="40">
        <f>Schedules!G81</f>
        <v>0.15453527435610304</v>
      </c>
      <c r="H90" s="42">
        <v>0.09</v>
      </c>
      <c r="I90" s="42">
        <v>0.09</v>
      </c>
      <c r="J90" s="42">
        <v>0.09</v>
      </c>
      <c r="K90" s="42">
        <v>0.09</v>
      </c>
      <c r="L90" s="42">
        <v>0.09</v>
      </c>
    </row>
    <row r="91" spans="1:12" x14ac:dyDescent="0.35">
      <c r="A91" s="5" t="s">
        <v>153</v>
      </c>
      <c r="H91" s="49">
        <v>93</v>
      </c>
      <c r="I91" s="49">
        <v>0</v>
      </c>
      <c r="J91" s="49">
        <v>0</v>
      </c>
      <c r="K91" s="49">
        <v>0</v>
      </c>
      <c r="L91" s="49">
        <v>0</v>
      </c>
    </row>
  </sheetData>
  <dataValidations count="2">
    <dataValidation type="list" sqref="C5" xr:uid="{00000000-0002-0000-0200-000000000000}">
      <formula1>"1,2,3"</formula1>
    </dataValidation>
    <dataValidation type="list" sqref="C7" xr:uid="{00000000-0002-0000-0200-000001000000}">
      <formula1>"1,2"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L31"/>
  <sheetViews>
    <sheetView workbookViewId="0">
      <pane xSplit="2" ySplit="4" topLeftCell="C5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0" customWidth="1"/>
    <col min="2" max="2" width="11" customWidth="1"/>
    <col min="3" max="12" width="13" customWidth="1"/>
  </cols>
  <sheetData>
    <row r="1" spans="1:12" ht="19.5" x14ac:dyDescent="0.45">
      <c r="A1" s="9" t="s">
        <v>154</v>
      </c>
    </row>
    <row r="2" spans="1:12" x14ac:dyDescent="0.35">
      <c r="A2" s="10" t="s">
        <v>155</v>
      </c>
    </row>
    <row r="4" spans="1:12" x14ac:dyDescent="0.35">
      <c r="A4" s="18" t="s">
        <v>156</v>
      </c>
      <c r="B4" s="19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1" t="s">
        <v>67</v>
      </c>
      <c r="I4" s="21" t="s">
        <v>68</v>
      </c>
      <c r="J4" s="21" t="s">
        <v>69</v>
      </c>
      <c r="K4" s="21" t="s">
        <v>70</v>
      </c>
      <c r="L4" s="21" t="s">
        <v>71</v>
      </c>
    </row>
    <row r="5" spans="1:12" x14ac:dyDescent="0.35">
      <c r="A5" s="4" t="s">
        <v>72</v>
      </c>
      <c r="B5" s="22"/>
      <c r="C5" s="23">
        <f>Hist_Data!C6</f>
        <v>28799</v>
      </c>
      <c r="D5" s="23">
        <f>Hist_Data!D6</f>
        <v>40575</v>
      </c>
      <c r="E5" s="23">
        <f>Hist_Data!E6</f>
        <v>51084</v>
      </c>
      <c r="F5" s="23">
        <f>Hist_Data!F6</f>
        <v>60456</v>
      </c>
      <c r="G5" s="23">
        <f>Hist_Data!G6</f>
        <v>87584</v>
      </c>
      <c r="H5" s="50">
        <f>G5*(1+H6)</f>
        <v>103349.12</v>
      </c>
      <c r="I5" s="50">
        <f>H5*(1+I6)</f>
        <v>118851.48799999998</v>
      </c>
      <c r="J5" s="50">
        <f>I5*(1+J6)</f>
        <v>134302.18143999996</v>
      </c>
      <c r="K5" s="50">
        <f>J5*(1+K6)</f>
        <v>150418.44321279996</v>
      </c>
      <c r="L5" s="50">
        <f>K5*(1+L6)</f>
        <v>166964.47196620796</v>
      </c>
    </row>
    <row r="6" spans="1:12" x14ac:dyDescent="0.35">
      <c r="A6" s="51" t="s">
        <v>74</v>
      </c>
      <c r="B6" s="22" t="s">
        <v>75</v>
      </c>
      <c r="D6" s="52">
        <f>D5/C5-1</f>
        <v>0.40890308691274013</v>
      </c>
      <c r="E6" s="52">
        <f>E5/D5-1</f>
        <v>0.25900184842883545</v>
      </c>
      <c r="F6" s="52">
        <f>F5/E5-1</f>
        <v>0.18346253229974163</v>
      </c>
      <c r="G6" s="52">
        <f>G5/F5-1</f>
        <v>0.448723038242689</v>
      </c>
      <c r="H6" s="40">
        <f>Inputs!H26</f>
        <v>0.18</v>
      </c>
      <c r="I6" s="40">
        <f>Inputs!I26</f>
        <v>0.15</v>
      </c>
      <c r="J6" s="40">
        <f>Inputs!J26</f>
        <v>0.13</v>
      </c>
      <c r="K6" s="40">
        <f>Inputs!K26</f>
        <v>0.12</v>
      </c>
      <c r="L6" s="40">
        <f>Inputs!L26</f>
        <v>0.11</v>
      </c>
    </row>
    <row r="7" spans="1:12" x14ac:dyDescent="0.35">
      <c r="A7" s="5" t="s">
        <v>157</v>
      </c>
      <c r="B7" s="22"/>
      <c r="C7" s="53">
        <f>Hist_Data!C9+Hist_Data!C10+Hist_Data!C11</f>
        <v>21641</v>
      </c>
      <c r="D7" s="53">
        <f>Hist_Data!D9+Hist_Data!D10+Hist_Data!D11</f>
        <v>30355</v>
      </c>
      <c r="E7" s="53">
        <f>Hist_Data!E9+Hist_Data!E10+Hist_Data!E11</f>
        <v>39432</v>
      </c>
      <c r="F7" s="53">
        <f>Hist_Data!F9+Hist_Data!F10+Hist_Data!F11</f>
        <v>47456</v>
      </c>
      <c r="G7" s="53">
        <f>Hist_Data!G9+Hist_Data!G10+Hist_Data!G11</f>
        <v>70307</v>
      </c>
      <c r="H7" s="53">
        <f>H5*(1-H9)</f>
        <v>82989.343359999984</v>
      </c>
      <c r="I7" s="53">
        <f>I5*(1-I9)</f>
        <v>95318.893375999993</v>
      </c>
      <c r="J7" s="53">
        <f>J5*(1-J9)</f>
        <v>107576.04733343996</v>
      </c>
      <c r="K7" s="53">
        <f>K5*(1-K9)</f>
        <v>120334.75457023998</v>
      </c>
      <c r="L7" s="53">
        <f>L5*(1-L9)</f>
        <v>133571.57757296637</v>
      </c>
    </row>
    <row r="8" spans="1:12" x14ac:dyDescent="0.35">
      <c r="A8" s="54" t="s">
        <v>158</v>
      </c>
      <c r="B8" s="55"/>
      <c r="C8" s="56">
        <f t="shared" ref="C8:L8" si="0">C5-C7</f>
        <v>7158</v>
      </c>
      <c r="D8" s="56">
        <f t="shared" si="0"/>
        <v>10220</v>
      </c>
      <c r="E8" s="56">
        <f t="shared" si="0"/>
        <v>11652</v>
      </c>
      <c r="F8" s="56">
        <f t="shared" si="0"/>
        <v>13000</v>
      </c>
      <c r="G8" s="56">
        <f t="shared" si="0"/>
        <v>17277</v>
      </c>
      <c r="H8" s="56">
        <f t="shared" si="0"/>
        <v>20359.776640000011</v>
      </c>
      <c r="I8" s="56">
        <f t="shared" si="0"/>
        <v>23532.59462399999</v>
      </c>
      <c r="J8" s="56">
        <f t="shared" si="0"/>
        <v>26726.134106559999</v>
      </c>
      <c r="K8" s="56">
        <f t="shared" si="0"/>
        <v>30083.688642559981</v>
      </c>
      <c r="L8" s="56">
        <f t="shared" si="0"/>
        <v>33392.894393241586</v>
      </c>
    </row>
    <row r="9" spans="1:12" x14ac:dyDescent="0.35">
      <c r="A9" s="51" t="s">
        <v>159</v>
      </c>
      <c r="B9" s="22" t="s">
        <v>75</v>
      </c>
      <c r="C9" s="52">
        <f>C8/C5</f>
        <v>0.24855029688530852</v>
      </c>
      <c r="D9" s="52">
        <f>D8/D5</f>
        <v>0.25187923598274797</v>
      </c>
      <c r="E9" s="52">
        <f>E8/E5</f>
        <v>0.22809490251350717</v>
      </c>
      <c r="F9" s="52">
        <f>F8/F5</f>
        <v>0.21503242027259495</v>
      </c>
      <c r="G9" s="52">
        <f>G8/G5</f>
        <v>0.19726205699671173</v>
      </c>
      <c r="H9" s="40">
        <f>Inputs!H31</f>
        <v>0.19700000000000001</v>
      </c>
      <c r="I9" s="40">
        <f>Inputs!I31</f>
        <v>0.19800000000000001</v>
      </c>
      <c r="J9" s="40">
        <f>Inputs!J31</f>
        <v>0.19900000000000001</v>
      </c>
      <c r="K9" s="40">
        <f>Inputs!K31</f>
        <v>0.2</v>
      </c>
      <c r="L9" s="40">
        <f>Inputs!L31</f>
        <v>0.2</v>
      </c>
    </row>
    <row r="10" spans="1:12" x14ac:dyDescent="0.35">
      <c r="A10" s="5" t="s">
        <v>160</v>
      </c>
      <c r="B10" s="22"/>
      <c r="C10" s="26">
        <f>Hist_Data!C12</f>
        <v>1349</v>
      </c>
      <c r="D10" s="26">
        <f>Hist_Data!D12</f>
        <v>1647</v>
      </c>
      <c r="E10" s="26">
        <f>Hist_Data!E12</f>
        <v>1864</v>
      </c>
      <c r="F10" s="26">
        <f>Hist_Data!F12</f>
        <v>2156</v>
      </c>
      <c r="G10" s="26">
        <f>Hist_Data!G12</f>
        <v>2681</v>
      </c>
      <c r="H10" s="53">
        <f>H5*H11</f>
        <v>3100.4735999999998</v>
      </c>
      <c r="I10" s="53">
        <f>I5*I11</f>
        <v>3506.1188959999995</v>
      </c>
      <c r="J10" s="53">
        <f>J5*J11</f>
        <v>3894.7632617599988</v>
      </c>
      <c r="K10" s="53">
        <f>K5*K11</f>
        <v>4362.1348531711992</v>
      </c>
      <c r="L10" s="53">
        <f>L5*L11</f>
        <v>4758.4874510369273</v>
      </c>
    </row>
    <row r="11" spans="1:12" x14ac:dyDescent="0.35">
      <c r="A11" s="51" t="s">
        <v>161</v>
      </c>
      <c r="B11" s="22" t="s">
        <v>75</v>
      </c>
      <c r="C11" s="57">
        <f>C10/C5</f>
        <v>4.6841904232785864E-2</v>
      </c>
      <c r="D11" s="57">
        <f>D10/D5</f>
        <v>4.0591497227356749E-2</v>
      </c>
      <c r="E11" s="57">
        <f>E10/E5</f>
        <v>3.6488920209850444E-2</v>
      </c>
      <c r="F11" s="57">
        <f>F10/F5</f>
        <v>3.566229985443959E-2</v>
      </c>
      <c r="G11" s="57">
        <f>G10/G5</f>
        <v>3.0610613810741687E-2</v>
      </c>
      <c r="H11" s="43">
        <f>Inputs!H36</f>
        <v>0.03</v>
      </c>
      <c r="I11" s="43">
        <f>Inputs!I36</f>
        <v>2.9499999999999998E-2</v>
      </c>
      <c r="J11" s="43">
        <f>Inputs!J36</f>
        <v>2.9000000000000001E-2</v>
      </c>
      <c r="K11" s="43">
        <f>Inputs!K36</f>
        <v>2.9000000000000001E-2</v>
      </c>
      <c r="L11" s="43">
        <f>Inputs!L36</f>
        <v>2.8500000000000001E-2</v>
      </c>
    </row>
    <row r="12" spans="1:12" x14ac:dyDescent="0.35">
      <c r="A12" s="5" t="s">
        <v>162</v>
      </c>
      <c r="B12" s="22"/>
      <c r="C12" s="26">
        <f>Hist_Data!C15</f>
        <v>2468</v>
      </c>
      <c r="D12" s="26">
        <f>Hist_Data!D15</f>
        <v>3694</v>
      </c>
      <c r="E12" s="26">
        <f>Hist_Data!E15</f>
        <v>4496</v>
      </c>
      <c r="F12" s="26">
        <f>Hist_Data!F15</f>
        <v>5150</v>
      </c>
      <c r="G12" s="26">
        <f>Hist_Data!G15</f>
        <v>6241</v>
      </c>
      <c r="H12" s="53">
        <f>H5*H13</f>
        <v>7337.7875199999989</v>
      </c>
      <c r="I12" s="53">
        <f>I5*I13</f>
        <v>8379.0299039999973</v>
      </c>
      <c r="J12" s="53">
        <f>J5*J13</f>
        <v>9401.1527007999975</v>
      </c>
      <c r="K12" s="53">
        <f>K5*K13</f>
        <v>10529.291024895998</v>
      </c>
      <c r="L12" s="53">
        <f>L5*L13</f>
        <v>11604.030801651454</v>
      </c>
    </row>
    <row r="13" spans="1:12" x14ac:dyDescent="0.35">
      <c r="A13" s="51" t="s">
        <v>163</v>
      </c>
      <c r="B13" s="22" t="s">
        <v>75</v>
      </c>
      <c r="C13" s="57">
        <f>C12/C5</f>
        <v>8.5697420049307263E-2</v>
      </c>
      <c r="D13" s="57">
        <f>D12/D5</f>
        <v>9.1041281577325939E-2</v>
      </c>
      <c r="E13" s="57">
        <f>E12/E5</f>
        <v>8.8011901965390341E-2</v>
      </c>
      <c r="F13" s="57">
        <f>F12/F5</f>
        <v>8.5185920338758769E-2</v>
      </c>
      <c r="G13" s="57">
        <f>G12/G5</f>
        <v>7.1257307270734385E-2</v>
      </c>
      <c r="H13" s="43">
        <f>Inputs!H41</f>
        <v>7.0999999999999994E-2</v>
      </c>
      <c r="I13" s="43">
        <f>Inputs!I41</f>
        <v>7.0499999999999993E-2</v>
      </c>
      <c r="J13" s="43">
        <f>Inputs!J41</f>
        <v>7.0000000000000007E-2</v>
      </c>
      <c r="K13" s="43">
        <f>Inputs!K41</f>
        <v>7.0000000000000007E-2</v>
      </c>
      <c r="L13" s="43">
        <f>Inputs!L41</f>
        <v>6.9500000000000006E-2</v>
      </c>
    </row>
    <row r="14" spans="1:12" x14ac:dyDescent="0.35">
      <c r="A14" s="54" t="s">
        <v>164</v>
      </c>
      <c r="B14" s="55"/>
      <c r="C14" s="56">
        <f t="shared" ref="C14:L14" si="1">C8-C10-C12</f>
        <v>3341</v>
      </c>
      <c r="D14" s="56">
        <f t="shared" si="1"/>
        <v>4879</v>
      </c>
      <c r="E14" s="56">
        <f t="shared" si="1"/>
        <v>5292</v>
      </c>
      <c r="F14" s="56">
        <f t="shared" si="1"/>
        <v>5694</v>
      </c>
      <c r="G14" s="56">
        <f t="shared" si="1"/>
        <v>8355</v>
      </c>
      <c r="H14" s="56">
        <f t="shared" si="1"/>
        <v>9921.5155200000117</v>
      </c>
      <c r="I14" s="56">
        <f t="shared" si="1"/>
        <v>11647.445823999993</v>
      </c>
      <c r="J14" s="56">
        <f t="shared" si="1"/>
        <v>13430.218144000002</v>
      </c>
      <c r="K14" s="56">
        <f t="shared" si="1"/>
        <v>15192.262764492783</v>
      </c>
      <c r="L14" s="56">
        <f t="shared" si="1"/>
        <v>17030.376140553206</v>
      </c>
    </row>
    <row r="15" spans="1:12" x14ac:dyDescent="0.35">
      <c r="A15" s="51" t="s">
        <v>78</v>
      </c>
      <c r="B15" s="22" t="s">
        <v>75</v>
      </c>
      <c r="C15" s="52">
        <f t="shared" ref="C15:L15" si="2">C14/C5</f>
        <v>0.11601097260321538</v>
      </c>
      <c r="D15" s="52">
        <f t="shared" si="2"/>
        <v>0.12024645717806531</v>
      </c>
      <c r="E15" s="52">
        <f t="shared" si="2"/>
        <v>0.10359408033826638</v>
      </c>
      <c r="F15" s="52">
        <f t="shared" si="2"/>
        <v>9.4184200079396582E-2</v>
      </c>
      <c r="G15" s="52">
        <f t="shared" si="2"/>
        <v>9.5394135915235656E-2</v>
      </c>
      <c r="H15" s="52">
        <f t="shared" si="2"/>
        <v>9.6000000000000113E-2</v>
      </c>
      <c r="I15" s="52">
        <f t="shared" si="2"/>
        <v>9.7999999999999962E-2</v>
      </c>
      <c r="J15" s="52">
        <f t="shared" si="2"/>
        <v>0.10000000000000005</v>
      </c>
      <c r="K15" s="52">
        <f t="shared" si="2"/>
        <v>0.10099999999999991</v>
      </c>
      <c r="L15" s="52">
        <f t="shared" si="2"/>
        <v>0.10199999999999997</v>
      </c>
    </row>
    <row r="16" spans="1:12" x14ac:dyDescent="0.35">
      <c r="A16" s="5" t="s">
        <v>165</v>
      </c>
      <c r="B16" s="22"/>
      <c r="C16" s="26">
        <f>Hist_Data!C14</f>
        <v>399</v>
      </c>
      <c r="D16" s="26">
        <f>Hist_Data!D14</f>
        <v>441</v>
      </c>
      <c r="E16" s="26">
        <f>Hist_Data!E14</f>
        <v>584</v>
      </c>
      <c r="F16" s="26">
        <f>Hist_Data!F14</f>
        <v>693</v>
      </c>
      <c r="G16" s="26">
        <f>Hist_Data!G14</f>
        <v>826</v>
      </c>
      <c r="H16" s="26">
        <f>Schedules!H51</f>
        <v>1135.56</v>
      </c>
      <c r="I16" s="26">
        <f>Schedules!I51</f>
        <v>1356.1918617599999</v>
      </c>
      <c r="J16" s="26">
        <f>Schedules!J51</f>
        <v>1597.8885422591998</v>
      </c>
      <c r="K16" s="26">
        <f>Schedules!K51</f>
        <v>1856.5236364139519</v>
      </c>
      <c r="L16" s="26">
        <f>Schedules!L51</f>
        <v>2131.8286638692348</v>
      </c>
    </row>
    <row r="17" spans="1:12" x14ac:dyDescent="0.35">
      <c r="A17" s="54" t="s">
        <v>166</v>
      </c>
      <c r="B17" s="55"/>
      <c r="C17" s="56">
        <f t="shared" ref="C17:L17" si="3">C14-C16</f>
        <v>2942</v>
      </c>
      <c r="D17" s="56">
        <f t="shared" si="3"/>
        <v>4438</v>
      </c>
      <c r="E17" s="56">
        <f t="shared" si="3"/>
        <v>4708</v>
      </c>
      <c r="F17" s="56">
        <f t="shared" si="3"/>
        <v>5001</v>
      </c>
      <c r="G17" s="56">
        <f t="shared" si="3"/>
        <v>7529</v>
      </c>
      <c r="H17" s="56">
        <f t="shared" si="3"/>
        <v>8785.9555200000123</v>
      </c>
      <c r="I17" s="56">
        <f t="shared" si="3"/>
        <v>10291.253962239993</v>
      </c>
      <c r="J17" s="56">
        <f t="shared" si="3"/>
        <v>11832.329601740803</v>
      </c>
      <c r="K17" s="56">
        <f t="shared" si="3"/>
        <v>13335.739128078832</v>
      </c>
      <c r="L17" s="56">
        <f t="shared" si="3"/>
        <v>14898.547476683971</v>
      </c>
    </row>
    <row r="18" spans="1:12" x14ac:dyDescent="0.35">
      <c r="A18" s="51" t="s">
        <v>80</v>
      </c>
      <c r="B18" s="22" t="s">
        <v>75</v>
      </c>
      <c r="C18" s="52">
        <f t="shared" ref="C18:L18" si="4">C17/C5</f>
        <v>0.1021563248723914</v>
      </c>
      <c r="D18" s="52">
        <f t="shared" si="4"/>
        <v>0.10937769562538509</v>
      </c>
      <c r="E18" s="52">
        <f t="shared" si="4"/>
        <v>9.2161929371231702E-2</v>
      </c>
      <c r="F18" s="52">
        <f t="shared" si="4"/>
        <v>8.2721317983326714E-2</v>
      </c>
      <c r="G18" s="52">
        <f t="shared" si="4"/>
        <v>8.5963189623675551E-2</v>
      </c>
      <c r="H18" s="52">
        <f t="shared" si="4"/>
        <v>8.5012388300935826E-2</v>
      </c>
      <c r="I18" s="52">
        <f t="shared" si="4"/>
        <v>8.6589189041032397E-2</v>
      </c>
      <c r="J18" s="52">
        <f t="shared" si="4"/>
        <v>8.810228899392035E-2</v>
      </c>
      <c r="K18" s="52">
        <f t="shared" si="4"/>
        <v>8.8657606362887942E-2</v>
      </c>
      <c r="L18" s="52">
        <f t="shared" si="4"/>
        <v>8.9231842566479036E-2</v>
      </c>
    </row>
    <row r="20" spans="1:12" x14ac:dyDescent="0.35">
      <c r="A20" s="5" t="s">
        <v>167</v>
      </c>
      <c r="B20" s="22"/>
      <c r="C20" s="26">
        <f>Hist_Data!C7</f>
        <v>234</v>
      </c>
      <c r="D20" s="26">
        <f>Hist_Data!D7</f>
        <v>308</v>
      </c>
      <c r="E20" s="26">
        <f>Hist_Data!E7</f>
        <v>533</v>
      </c>
      <c r="F20" s="26">
        <f>Hist_Data!F7</f>
        <v>486</v>
      </c>
      <c r="G20" s="26">
        <f>Hist_Data!G7</f>
        <v>552</v>
      </c>
      <c r="H20" s="26">
        <f>Schedules!H83</f>
        <v>488.07</v>
      </c>
      <c r="I20" s="26">
        <f>Schedules!I83</f>
        <v>531.69393600000001</v>
      </c>
      <c r="J20" s="26">
        <f>Schedules!J83</f>
        <v>594.47852639999996</v>
      </c>
      <c r="K20" s="26">
        <f>Schedules!K83</f>
        <v>657.05383483199989</v>
      </c>
      <c r="L20" s="26">
        <f>Schedules!L83</f>
        <v>722.32469501183971</v>
      </c>
    </row>
    <row r="21" spans="1:12" x14ac:dyDescent="0.35">
      <c r="A21" s="5" t="s">
        <v>168</v>
      </c>
      <c r="B21" s="22"/>
      <c r="C21" s="26">
        <f>Hist_Data!C13</f>
        <v>218</v>
      </c>
      <c r="D21" s="26">
        <f>Hist_Data!D13</f>
        <v>300</v>
      </c>
      <c r="E21" s="26">
        <f>Hist_Data!E13</f>
        <v>619</v>
      </c>
      <c r="F21" s="26">
        <f>Hist_Data!F13</f>
        <v>953</v>
      </c>
      <c r="G21" s="26">
        <f>Hist_Data!G13</f>
        <v>1180</v>
      </c>
      <c r="H21" s="26">
        <f>Schedules!H75</f>
        <v>1411.5239999999999</v>
      </c>
      <c r="I21" s="26">
        <f>Schedules!I75</f>
        <v>1527.7600762358832</v>
      </c>
      <c r="J21" s="26">
        <f>Schedules!J75</f>
        <v>1593.2602471807095</v>
      </c>
      <c r="K21" s="26">
        <f>Schedules!K75</f>
        <v>1614.9295119738767</v>
      </c>
      <c r="L21" s="26">
        <f>Schedules!L75</f>
        <v>1606.8725649026974</v>
      </c>
    </row>
    <row r="22" spans="1:12" x14ac:dyDescent="0.35">
      <c r="A22" s="5" t="s">
        <v>169</v>
      </c>
      <c r="B22" s="22"/>
      <c r="C22" s="26">
        <f>Hist_Data!C18</f>
        <v>0</v>
      </c>
      <c r="D22" s="26">
        <f>Hist_Data!D18</f>
        <v>1</v>
      </c>
      <c r="E22" s="26">
        <f>Hist_Data!E18</f>
        <v>1</v>
      </c>
      <c r="F22" s="26">
        <f>Hist_Data!F18</f>
        <v>1</v>
      </c>
      <c r="G22" s="26">
        <f>Hist_Data!G18</f>
        <v>1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</row>
    <row r="23" spans="1:12" x14ac:dyDescent="0.35">
      <c r="A23" s="5" t="s">
        <v>170</v>
      </c>
      <c r="B23" s="22"/>
      <c r="C23" s="26">
        <f>Hist_Data!C20</f>
        <v>54</v>
      </c>
      <c r="D23" s="26">
        <f>Hist_Data!D20</f>
        <v>0</v>
      </c>
      <c r="E23" s="26">
        <f>Hist_Data!E20</f>
        <v>0</v>
      </c>
      <c r="F23" s="26">
        <f>Hist_Data!F20</f>
        <v>0</v>
      </c>
      <c r="G23" s="26">
        <f>Hist_Data!G20</f>
        <v>101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</row>
    <row r="24" spans="1:12" x14ac:dyDescent="0.35">
      <c r="A24" s="54" t="s">
        <v>171</v>
      </c>
      <c r="B24" s="55"/>
      <c r="C24" s="56">
        <f t="shared" ref="C24:L24" si="5">C17+C20-C21+C22-C23</f>
        <v>2904</v>
      </c>
      <c r="D24" s="56">
        <f t="shared" si="5"/>
        <v>4447</v>
      </c>
      <c r="E24" s="56">
        <f t="shared" si="5"/>
        <v>4623</v>
      </c>
      <c r="F24" s="56">
        <f t="shared" si="5"/>
        <v>4535</v>
      </c>
      <c r="G24" s="56">
        <f t="shared" si="5"/>
        <v>6801</v>
      </c>
      <c r="H24" s="56">
        <f t="shared" si="5"/>
        <v>7862.5015200000125</v>
      </c>
      <c r="I24" s="56">
        <f t="shared" si="5"/>
        <v>9295.187822004109</v>
      </c>
      <c r="J24" s="56">
        <f t="shared" si="5"/>
        <v>10833.547880960094</v>
      </c>
      <c r="K24" s="56">
        <f t="shared" si="5"/>
        <v>12377.863450936957</v>
      </c>
      <c r="L24" s="56">
        <f t="shared" si="5"/>
        <v>14013.999606793113</v>
      </c>
    </row>
    <row r="25" spans="1:12" x14ac:dyDescent="0.35">
      <c r="A25" s="5" t="s">
        <v>172</v>
      </c>
      <c r="B25" s="22"/>
      <c r="C25" s="26">
        <f>Hist_Data!C24</f>
        <v>706</v>
      </c>
      <c r="D25" s="26">
        <f>Hist_Data!D24</f>
        <v>1173</v>
      </c>
      <c r="E25" s="26">
        <f>Hist_Data!E24</f>
        <v>1127</v>
      </c>
      <c r="F25" s="26">
        <f>Hist_Data!F24</f>
        <v>1198</v>
      </c>
      <c r="G25" s="26">
        <f>Hist_Data!G24</f>
        <v>1728</v>
      </c>
      <c r="H25" s="53">
        <f>MAX(0,H24)*Inputs!H80</f>
        <v>1997.0753860800032</v>
      </c>
      <c r="I25" s="53">
        <f>MAX(0,I24)*Inputs!I80</f>
        <v>2360.9777067890436</v>
      </c>
      <c r="J25" s="53">
        <f>MAX(0,J24)*Inputs!J80</f>
        <v>2751.7211617638636</v>
      </c>
      <c r="K25" s="53">
        <f>MAX(0,K24)*Inputs!K80</f>
        <v>3143.977316537987</v>
      </c>
      <c r="L25" s="53">
        <f>MAX(0,L24)*Inputs!L80</f>
        <v>3559.555900125451</v>
      </c>
    </row>
    <row r="26" spans="1:12" x14ac:dyDescent="0.35">
      <c r="A26" s="51" t="s">
        <v>173</v>
      </c>
      <c r="B26" s="22" t="s">
        <v>75</v>
      </c>
      <c r="C26" s="52">
        <f t="shared" ref="C26:L26" si="6">C25/C24</f>
        <v>0.24311294765840222</v>
      </c>
      <c r="D26" s="52">
        <f t="shared" si="6"/>
        <v>0.26377333033505734</v>
      </c>
      <c r="E26" s="52">
        <f t="shared" si="6"/>
        <v>0.24378109452736318</v>
      </c>
      <c r="F26" s="52">
        <f t="shared" si="6"/>
        <v>0.26416758544652702</v>
      </c>
      <c r="G26" s="52">
        <f t="shared" si="6"/>
        <v>0.25408028231142477</v>
      </c>
      <c r="H26" s="52">
        <f t="shared" si="6"/>
        <v>0.254</v>
      </c>
      <c r="I26" s="52">
        <f t="shared" si="6"/>
        <v>0.254</v>
      </c>
      <c r="J26" s="52">
        <f t="shared" si="6"/>
        <v>0.254</v>
      </c>
      <c r="K26" s="52">
        <f t="shared" si="6"/>
        <v>0.254</v>
      </c>
      <c r="L26" s="52">
        <f t="shared" si="6"/>
        <v>0.254</v>
      </c>
    </row>
    <row r="27" spans="1:12" x14ac:dyDescent="0.35">
      <c r="A27" s="58" t="s">
        <v>174</v>
      </c>
      <c r="B27" s="59"/>
      <c r="C27" s="60">
        <f t="shared" ref="C27:L27" si="7">C24-C25</f>
        <v>2198</v>
      </c>
      <c r="D27" s="60">
        <f t="shared" si="7"/>
        <v>3274</v>
      </c>
      <c r="E27" s="60">
        <f t="shared" si="7"/>
        <v>3496</v>
      </c>
      <c r="F27" s="60">
        <f t="shared" si="7"/>
        <v>3337</v>
      </c>
      <c r="G27" s="60">
        <f t="shared" si="7"/>
        <v>5073</v>
      </c>
      <c r="H27" s="60">
        <f t="shared" si="7"/>
        <v>5865.4261339200093</v>
      </c>
      <c r="I27" s="60">
        <f t="shared" si="7"/>
        <v>6934.2101152150653</v>
      </c>
      <c r="J27" s="60">
        <f t="shared" si="7"/>
        <v>8081.8267191962295</v>
      </c>
      <c r="K27" s="60">
        <f t="shared" si="7"/>
        <v>9233.8861343989702</v>
      </c>
      <c r="L27" s="60">
        <f t="shared" si="7"/>
        <v>10454.443706667662</v>
      </c>
    </row>
    <row r="28" spans="1:12" x14ac:dyDescent="0.35">
      <c r="A28" s="51" t="s">
        <v>82</v>
      </c>
      <c r="B28" s="22" t="s">
        <v>75</v>
      </c>
      <c r="C28" s="52">
        <f t="shared" ref="C28:L28" si="8">C27/C5</f>
        <v>7.632209451717073E-2</v>
      </c>
      <c r="D28" s="52">
        <f t="shared" si="8"/>
        <v>8.0690080098582875E-2</v>
      </c>
      <c r="E28" s="52">
        <f t="shared" si="8"/>
        <v>6.8436300994440535E-2</v>
      </c>
      <c r="F28" s="52">
        <f t="shared" si="8"/>
        <v>5.5197168188434564E-2</v>
      </c>
      <c r="G28" s="52">
        <f t="shared" si="8"/>
        <v>5.792153818048959E-2</v>
      </c>
      <c r="H28" s="52">
        <f t="shared" si="8"/>
        <v>5.6753517919843045E-2</v>
      </c>
      <c r="I28" s="52">
        <f t="shared" si="8"/>
        <v>5.8343485907513974E-2</v>
      </c>
      <c r="J28" s="52">
        <f t="shared" si="8"/>
        <v>6.0176436693299869E-2</v>
      </c>
      <c r="K28" s="52">
        <f t="shared" si="8"/>
        <v>6.1387991639666205E-2</v>
      </c>
      <c r="L28" s="52">
        <f t="shared" si="8"/>
        <v>6.2614780159838693E-2</v>
      </c>
    </row>
    <row r="30" spans="1:12" x14ac:dyDescent="0.35">
      <c r="A30" s="5" t="s">
        <v>175</v>
      </c>
      <c r="B30" s="22" t="s">
        <v>73</v>
      </c>
      <c r="C30" s="25">
        <f>Inputs!$C$10</f>
        <v>88.78</v>
      </c>
      <c r="D30" s="25">
        <f>Inputs!$C$10</f>
        <v>88.78</v>
      </c>
      <c r="E30" s="25">
        <f>Inputs!$C$10</f>
        <v>88.78</v>
      </c>
      <c r="F30" s="25">
        <f>Inputs!$C$10</f>
        <v>88.78</v>
      </c>
      <c r="G30" s="25">
        <f>Inputs!$C$10</f>
        <v>88.78</v>
      </c>
      <c r="H30" s="25">
        <f>Inputs!$C$10</f>
        <v>88.78</v>
      </c>
      <c r="I30" s="25">
        <f>Inputs!$C$10</f>
        <v>88.78</v>
      </c>
      <c r="J30" s="25">
        <f>Inputs!$C$10</f>
        <v>88.78</v>
      </c>
      <c r="K30" s="25">
        <f>Inputs!$C$10</f>
        <v>88.78</v>
      </c>
      <c r="L30" s="25">
        <f>Inputs!$C$10</f>
        <v>88.78</v>
      </c>
    </row>
    <row r="31" spans="1:12" x14ac:dyDescent="0.35">
      <c r="A31" s="4" t="s">
        <v>176</v>
      </c>
      <c r="B31" s="22" t="s">
        <v>84</v>
      </c>
      <c r="C31" s="61">
        <f t="shared" ref="C31:L31" si="9">C27/C30</f>
        <v>24.757828339716152</v>
      </c>
      <c r="D31" s="61">
        <f t="shared" si="9"/>
        <v>36.877675152061272</v>
      </c>
      <c r="E31" s="61">
        <f t="shared" si="9"/>
        <v>39.37823834196891</v>
      </c>
      <c r="F31" s="61">
        <f t="shared" si="9"/>
        <v>37.58729443568371</v>
      </c>
      <c r="G31" s="61">
        <f t="shared" si="9"/>
        <v>57.141248028835321</v>
      </c>
      <c r="H31" s="61">
        <f t="shared" si="9"/>
        <v>66.066976052264124</v>
      </c>
      <c r="I31" s="61">
        <f t="shared" si="9"/>
        <v>78.105543086450382</v>
      </c>
      <c r="J31" s="61">
        <f t="shared" si="9"/>
        <v>91.032064870423852</v>
      </c>
      <c r="K31" s="61">
        <f t="shared" si="9"/>
        <v>104.00862958322787</v>
      </c>
      <c r="L31" s="61">
        <f t="shared" si="9"/>
        <v>117.75674371105724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L36"/>
  <sheetViews>
    <sheetView workbookViewId="0">
      <pane xSplit="2" ySplit="4" topLeftCell="C5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0" customWidth="1"/>
    <col min="2" max="2" width="11" customWidth="1"/>
    <col min="3" max="12" width="13" customWidth="1"/>
  </cols>
  <sheetData>
    <row r="1" spans="1:12" ht="19.5" x14ac:dyDescent="0.45">
      <c r="A1" s="9" t="s">
        <v>177</v>
      </c>
    </row>
    <row r="2" spans="1:12" x14ac:dyDescent="0.35">
      <c r="A2" s="10" t="s">
        <v>178</v>
      </c>
    </row>
    <row r="4" spans="1:12" x14ac:dyDescent="0.35">
      <c r="A4" s="18" t="s">
        <v>156</v>
      </c>
      <c r="B4" s="19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1" t="s">
        <v>67</v>
      </c>
      <c r="I4" s="21" t="s">
        <v>68</v>
      </c>
      <c r="J4" s="21" t="s">
        <v>69</v>
      </c>
      <c r="K4" s="21" t="s">
        <v>70</v>
      </c>
      <c r="L4" s="21" t="s">
        <v>71</v>
      </c>
    </row>
    <row r="5" spans="1:12" x14ac:dyDescent="0.35">
      <c r="A5" s="29" t="s">
        <v>179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35">
      <c r="A6" s="5" t="s">
        <v>180</v>
      </c>
      <c r="B6" s="22"/>
      <c r="C6" s="53">
        <f>Hist_Data!C28+Hist_Data!C29+Hist_Data!C31</f>
        <v>1288</v>
      </c>
      <c r="D6" s="53">
        <f>Hist_Data!D28+Hist_Data!D29+Hist_Data!D31</f>
        <v>1477</v>
      </c>
      <c r="E6" s="53">
        <f>Hist_Data!E28+Hist_Data!E29+Hist_Data!E31</f>
        <v>1826</v>
      </c>
      <c r="F6" s="53">
        <f>Hist_Data!F28+Hist_Data!F29+Hist_Data!F31</f>
        <v>1948</v>
      </c>
      <c r="G6" s="53">
        <f>Hist_Data!G28+Hist_Data!G29+Hist_Data!G31</f>
        <v>2955</v>
      </c>
      <c r="H6" s="26">
        <f>Schedules!H39</f>
        <v>3536.3610239999998</v>
      </c>
      <c r="I6" s="26">
        <f>Schedules!I39</f>
        <v>4182.8284377599994</v>
      </c>
      <c r="J6" s="26">
        <f>Schedules!J39</f>
        <v>4883.4581384063995</v>
      </c>
      <c r="K6" s="26">
        <f>Schedules!K39</f>
        <v>5636.3729570319356</v>
      </c>
      <c r="L6" s="26">
        <f>Schedules!L39</f>
        <v>6437.5908979621472</v>
      </c>
    </row>
    <row r="7" spans="1:12" x14ac:dyDescent="0.35">
      <c r="A7" s="5" t="s">
        <v>181</v>
      </c>
      <c r="B7" s="22"/>
      <c r="C7" s="26">
        <f>Hist_Data!C30</f>
        <v>973</v>
      </c>
      <c r="D7" s="26">
        <f>Hist_Data!D30</f>
        <v>1285</v>
      </c>
      <c r="E7" s="26">
        <f>Hist_Data!E30</f>
        <v>1543</v>
      </c>
      <c r="F7" s="26">
        <f>Hist_Data!F30</f>
        <v>1774</v>
      </c>
      <c r="G7" s="26">
        <f>Hist_Data!G30</f>
        <v>2195</v>
      </c>
      <c r="H7" s="26">
        <f>Schedules!H45</f>
        <v>2701.6912000000002</v>
      </c>
      <c r="I7" s="26">
        <f>Schedules!I45</f>
        <v>3241.8001919999997</v>
      </c>
      <c r="J7" s="26">
        <f>Schedules!J45</f>
        <v>3806.7899603199999</v>
      </c>
      <c r="K7" s="26">
        <f>Schedules!K45</f>
        <v>4397.3448019711986</v>
      </c>
      <c r="L7" s="26">
        <f>Schedules!L45</f>
        <v>5011.6267691601906</v>
      </c>
    </row>
    <row r="8" spans="1:12" x14ac:dyDescent="0.35">
      <c r="A8" s="5" t="s">
        <v>182</v>
      </c>
      <c r="B8" s="22"/>
      <c r="C8" s="26">
        <f>Hist_Data!C32</f>
        <v>123</v>
      </c>
      <c r="D8" s="26">
        <f>Hist_Data!D32</f>
        <v>123</v>
      </c>
      <c r="E8" s="26">
        <f>Hist_Data!E32</f>
        <v>123</v>
      </c>
      <c r="F8" s="26">
        <f>Hist_Data!F32</f>
        <v>123</v>
      </c>
      <c r="G8" s="26">
        <f>Hist_Data!G32</f>
        <v>758</v>
      </c>
      <c r="H8" s="53">
        <f>G8</f>
        <v>758</v>
      </c>
      <c r="I8" s="53">
        <f>H8</f>
        <v>758</v>
      </c>
      <c r="J8" s="53">
        <f>I8</f>
        <v>758</v>
      </c>
      <c r="K8" s="53">
        <f>J8</f>
        <v>758</v>
      </c>
      <c r="L8" s="53">
        <f>K8</f>
        <v>758</v>
      </c>
    </row>
    <row r="9" spans="1:12" x14ac:dyDescent="0.35">
      <c r="A9" s="5" t="s">
        <v>183</v>
      </c>
      <c r="B9" s="22"/>
      <c r="C9" s="53">
        <f>Hist_Data!C33+Hist_Data!C34</f>
        <v>245</v>
      </c>
      <c r="D9" s="53">
        <f>Hist_Data!D33+Hist_Data!D34</f>
        <v>257</v>
      </c>
      <c r="E9" s="53">
        <f>Hist_Data!E33+Hist_Data!E34</f>
        <v>314</v>
      </c>
      <c r="F9" s="53">
        <f>Hist_Data!F33+Hist_Data!F34</f>
        <v>322</v>
      </c>
      <c r="G9" s="53">
        <f>Hist_Data!G33+Hist_Data!G34</f>
        <v>1133</v>
      </c>
      <c r="H9" s="26">
        <f>Schedules!H50</f>
        <v>1183.0684159999998</v>
      </c>
      <c r="I9" s="26">
        <f>Schedules!I50</f>
        <v>1255.0328844799999</v>
      </c>
      <c r="J9" s="26">
        <f>Schedules!J50</f>
        <v>1346.1728649344</v>
      </c>
      <c r="K9" s="26">
        <f>Schedules!K50</f>
        <v>1455.3853189253118</v>
      </c>
      <c r="L9" s="26">
        <f>Schedules!L50</f>
        <v>1581.2751301934486</v>
      </c>
    </row>
    <row r="10" spans="1:12" x14ac:dyDescent="0.35">
      <c r="A10" s="5" t="s">
        <v>184</v>
      </c>
      <c r="B10" s="22"/>
      <c r="C10" s="53">
        <f>Hist_Data!C35+Hist_Data!C36</f>
        <v>279</v>
      </c>
      <c r="D10" s="53">
        <f>Hist_Data!D35+Hist_Data!D36</f>
        <v>351</v>
      </c>
      <c r="E10" s="53">
        <f>Hist_Data!E35+Hist_Data!E36</f>
        <v>679</v>
      </c>
      <c r="F10" s="53">
        <f>Hist_Data!F35+Hist_Data!F36</f>
        <v>651</v>
      </c>
      <c r="G10" s="53">
        <f>Hist_Data!G35+Hist_Data!G36</f>
        <v>1257</v>
      </c>
      <c r="H10" s="53">
        <f t="shared" ref="H10:L11" si="0">G10</f>
        <v>1257</v>
      </c>
      <c r="I10" s="53">
        <f t="shared" si="0"/>
        <v>1257</v>
      </c>
      <c r="J10" s="53">
        <f t="shared" si="0"/>
        <v>1257</v>
      </c>
      <c r="K10" s="53">
        <f t="shared" si="0"/>
        <v>1257</v>
      </c>
      <c r="L10" s="53">
        <f t="shared" si="0"/>
        <v>1257</v>
      </c>
    </row>
    <row r="11" spans="1:12" x14ac:dyDescent="0.35">
      <c r="A11" s="5" t="s">
        <v>185</v>
      </c>
      <c r="B11" s="22"/>
      <c r="C11" s="53">
        <f>Hist_Data!C37+Hist_Data!C38+Hist_Data!C39+Hist_Data!C40+Hist_Data!C41</f>
        <v>832</v>
      </c>
      <c r="D11" s="53">
        <f>Hist_Data!D37+Hist_Data!D38+Hist_Data!D39+Hist_Data!D40+Hist_Data!D41</f>
        <v>1123</v>
      </c>
      <c r="E11" s="53">
        <f>Hist_Data!E37+Hist_Data!E38+Hist_Data!E39+Hist_Data!E40+Hist_Data!E41</f>
        <v>1457</v>
      </c>
      <c r="F11" s="53">
        <f>Hist_Data!F37+Hist_Data!F38+Hist_Data!F39+Hist_Data!F40+Hist_Data!F41</f>
        <v>1395</v>
      </c>
      <c r="G11" s="53">
        <f>Hist_Data!G37+Hist_Data!G38+Hist_Data!G39+Hist_Data!G40+Hist_Data!G41</f>
        <v>1482</v>
      </c>
      <c r="H11" s="53">
        <f t="shared" si="0"/>
        <v>1482</v>
      </c>
      <c r="I11" s="53">
        <f t="shared" si="0"/>
        <v>1482</v>
      </c>
      <c r="J11" s="53">
        <f t="shared" si="0"/>
        <v>1482</v>
      </c>
      <c r="K11" s="53">
        <f t="shared" si="0"/>
        <v>1482</v>
      </c>
      <c r="L11" s="53">
        <f t="shared" si="0"/>
        <v>1482</v>
      </c>
    </row>
    <row r="12" spans="1:12" x14ac:dyDescent="0.35">
      <c r="A12" s="54" t="s">
        <v>186</v>
      </c>
      <c r="B12" s="55"/>
      <c r="C12" s="56">
        <f t="shared" ref="C12:L12" si="1">SUM(C6:C11)</f>
        <v>3740</v>
      </c>
      <c r="D12" s="56">
        <f t="shared" si="1"/>
        <v>4616</v>
      </c>
      <c r="E12" s="56">
        <f t="shared" si="1"/>
        <v>5942</v>
      </c>
      <c r="F12" s="56">
        <f t="shared" si="1"/>
        <v>6213</v>
      </c>
      <c r="G12" s="56">
        <f t="shared" si="1"/>
        <v>9780</v>
      </c>
      <c r="H12" s="56">
        <f t="shared" si="1"/>
        <v>10918.120640000001</v>
      </c>
      <c r="I12" s="56">
        <f t="shared" si="1"/>
        <v>12176.661514239999</v>
      </c>
      <c r="J12" s="56">
        <f t="shared" si="1"/>
        <v>13533.420963660799</v>
      </c>
      <c r="K12" s="56">
        <f t="shared" si="1"/>
        <v>14986.103077928447</v>
      </c>
      <c r="L12" s="56">
        <f t="shared" si="1"/>
        <v>16527.492797315786</v>
      </c>
    </row>
    <row r="13" spans="1:12" x14ac:dyDescent="0.35">
      <c r="A13" s="5" t="s">
        <v>187</v>
      </c>
      <c r="B13" s="22"/>
      <c r="C13" s="26">
        <f>Hist_Data!C42</f>
        <v>13609</v>
      </c>
      <c r="D13" s="26">
        <f>Hist_Data!D42</f>
        <v>16584</v>
      </c>
      <c r="E13" s="26">
        <f>Hist_Data!E42</f>
        <v>19051</v>
      </c>
      <c r="F13" s="26">
        <f>Hist_Data!F42</f>
        <v>28184</v>
      </c>
      <c r="G13" s="26">
        <f>Hist_Data!G42</f>
        <v>42743</v>
      </c>
      <c r="H13" s="26">
        <f>Schedules!H11</f>
        <v>50020.974079999993</v>
      </c>
      <c r="I13" s="26">
        <f>Schedules!I11</f>
        <v>57452.483678684926</v>
      </c>
      <c r="J13" s="26">
        <f>Schedules!J11</f>
        <v>64840.357296867922</v>
      </c>
      <c r="K13" s="26">
        <f>Schedules!K11</f>
        <v>72530.537001240533</v>
      </c>
      <c r="L13" s="26">
        <f>Schedules!L11</f>
        <v>80508.896071376992</v>
      </c>
    </row>
    <row r="14" spans="1:12" x14ac:dyDescent="0.35">
      <c r="A14" s="5" t="s">
        <v>188</v>
      </c>
      <c r="B14" s="22"/>
      <c r="C14" s="26">
        <f>Hist_Data!C44</f>
        <v>565</v>
      </c>
      <c r="D14" s="26">
        <f>Hist_Data!D44</f>
        <v>674</v>
      </c>
      <c r="E14" s="26">
        <f>Hist_Data!E44</f>
        <v>1018</v>
      </c>
      <c r="F14" s="26">
        <f>Hist_Data!F44</f>
        <v>1068</v>
      </c>
      <c r="G14" s="26">
        <f>Hist_Data!G44</f>
        <v>916</v>
      </c>
      <c r="H14" s="26">
        <f>Schedules!H12</f>
        <v>1132.593095890411</v>
      </c>
      <c r="I14" s="26">
        <f>Schedules!I12</f>
        <v>1302.4820602739724</v>
      </c>
      <c r="J14" s="26">
        <f>Schedules!J12</f>
        <v>1471.8047281095885</v>
      </c>
      <c r="K14" s="26">
        <f>Schedules!K12</f>
        <v>1648.4212954827392</v>
      </c>
      <c r="L14" s="26">
        <f>Schedules!L12</f>
        <v>1829.7476379858406</v>
      </c>
    </row>
    <row r="15" spans="1:12" x14ac:dyDescent="0.35">
      <c r="A15" s="5" t="s">
        <v>189</v>
      </c>
      <c r="B15" s="22"/>
      <c r="C15" s="53">
        <f>Hist_Data!C47+Hist_Data!C48+Hist_Data!C49+Hist_Data!C50</f>
        <v>1692</v>
      </c>
      <c r="D15" s="53">
        <f>Hist_Data!D47+Hist_Data!D48+Hist_Data!D49+Hist_Data!D50</f>
        <v>1642</v>
      </c>
      <c r="E15" s="53">
        <f>Hist_Data!E47+Hist_Data!E48+Hist_Data!E49+Hist_Data!E50</f>
        <v>2347</v>
      </c>
      <c r="F15" s="53">
        <f>Hist_Data!F47+Hist_Data!F48+Hist_Data!F49+Hist_Data!F50</f>
        <v>2261</v>
      </c>
      <c r="G15" s="53">
        <f>Hist_Data!G47+Hist_Data!G48+Hist_Data!G49+Hist_Data!G50</f>
        <v>2956</v>
      </c>
      <c r="H15" s="26">
        <f>Schedules!H15</f>
        <v>3513.8700800000001</v>
      </c>
      <c r="I15" s="26">
        <f>Schedules!I15</f>
        <v>4040.9505919999997</v>
      </c>
      <c r="J15" s="26">
        <f>Schedules!J15</f>
        <v>4566.2741689599989</v>
      </c>
      <c r="K15" s="26">
        <f>Schedules!K15</f>
        <v>5114.2270692351995</v>
      </c>
      <c r="L15" s="26">
        <f>Schedules!L15</f>
        <v>5676.7920468510711</v>
      </c>
    </row>
    <row r="16" spans="1:12" x14ac:dyDescent="0.35">
      <c r="A16" s="5" t="s">
        <v>190</v>
      </c>
      <c r="B16" s="22"/>
      <c r="C16" s="53">
        <f>Hist_Data!C43+Hist_Data!C46</f>
        <v>1369</v>
      </c>
      <c r="D16" s="53">
        <f>Hist_Data!D43+Hist_Data!D46</f>
        <v>3275</v>
      </c>
      <c r="E16" s="53">
        <f>Hist_Data!E43+Hist_Data!E46</f>
        <v>2783</v>
      </c>
      <c r="F16" s="53">
        <f>Hist_Data!F43+Hist_Data!F46</f>
        <v>2514</v>
      </c>
      <c r="G16" s="53">
        <f>Hist_Data!G43+Hist_Data!G46</f>
        <v>3293</v>
      </c>
      <c r="H16" s="26">
        <f>Schedules!H80</f>
        <v>3617.2192</v>
      </c>
      <c r="I16" s="26">
        <f>Schedules!I80</f>
        <v>4159.8020799999995</v>
      </c>
      <c r="J16" s="26">
        <f>Schedules!J80</f>
        <v>4700.5763503999988</v>
      </c>
      <c r="K16" s="26">
        <f>Schedules!K80</f>
        <v>5264.645512447999</v>
      </c>
      <c r="L16" s="26">
        <f>Schedules!L80</f>
        <v>5843.7565188172794</v>
      </c>
    </row>
    <row r="17" spans="1:12" x14ac:dyDescent="0.35">
      <c r="A17" s="5" t="s">
        <v>191</v>
      </c>
      <c r="B17" s="22"/>
      <c r="C17" s="26">
        <f>Hist_Data!C45</f>
        <v>219</v>
      </c>
      <c r="D17" s="26">
        <f>Hist_Data!D45</f>
        <v>232</v>
      </c>
      <c r="E17" s="26">
        <f>Hist_Data!E45</f>
        <v>409</v>
      </c>
      <c r="F17" s="26">
        <f>Hist_Data!F45</f>
        <v>407</v>
      </c>
      <c r="G17" s="26">
        <f>Hist_Data!G45</f>
        <v>873</v>
      </c>
      <c r="H17" s="26">
        <f>CF!H34</f>
        <v>1033.4912000000004</v>
      </c>
      <c r="I17" s="26">
        <f>CF!I34</f>
        <v>1188.5148800000006</v>
      </c>
      <c r="J17" s="26">
        <f>CF!J34</f>
        <v>1343.0218144</v>
      </c>
      <c r="K17" s="26">
        <f>CF!K34</f>
        <v>1504.1844321279978</v>
      </c>
      <c r="L17" s="26">
        <f>CF!L34</f>
        <v>1669.6447196620802</v>
      </c>
    </row>
    <row r="18" spans="1:12" x14ac:dyDescent="0.35">
      <c r="A18" s="54" t="s">
        <v>192</v>
      </c>
      <c r="B18" s="55"/>
      <c r="C18" s="56">
        <f t="shared" ref="C18:L18" si="2">SUM(C13:C17)</f>
        <v>17454</v>
      </c>
      <c r="D18" s="56">
        <f t="shared" si="2"/>
        <v>22407</v>
      </c>
      <c r="E18" s="56">
        <f t="shared" si="2"/>
        <v>25608</v>
      </c>
      <c r="F18" s="56">
        <f t="shared" si="2"/>
        <v>34434</v>
      </c>
      <c r="G18" s="56">
        <f t="shared" si="2"/>
        <v>50781</v>
      </c>
      <c r="H18" s="56">
        <f t="shared" si="2"/>
        <v>59318.147655890411</v>
      </c>
      <c r="I18" s="56">
        <f t="shared" si="2"/>
        <v>68144.233290958902</v>
      </c>
      <c r="J18" s="56">
        <f t="shared" si="2"/>
        <v>76922.03435873751</v>
      </c>
      <c r="K18" s="56">
        <f t="shared" si="2"/>
        <v>86062.015310534465</v>
      </c>
      <c r="L18" s="56">
        <f t="shared" si="2"/>
        <v>95528.836994693265</v>
      </c>
    </row>
    <row r="19" spans="1:12" x14ac:dyDescent="0.35">
      <c r="A19" s="58" t="s">
        <v>193</v>
      </c>
      <c r="B19" s="59"/>
      <c r="C19" s="60">
        <f t="shared" ref="C19:L19" si="3">C12+C18</f>
        <v>21194</v>
      </c>
      <c r="D19" s="60">
        <f t="shared" si="3"/>
        <v>27023</v>
      </c>
      <c r="E19" s="60">
        <f t="shared" si="3"/>
        <v>31550</v>
      </c>
      <c r="F19" s="60">
        <f t="shared" si="3"/>
        <v>40647</v>
      </c>
      <c r="G19" s="60">
        <f t="shared" si="3"/>
        <v>60561</v>
      </c>
      <c r="H19" s="60">
        <f t="shared" si="3"/>
        <v>70236.268295890419</v>
      </c>
      <c r="I19" s="60">
        <f t="shared" si="3"/>
        <v>80320.894805198899</v>
      </c>
      <c r="J19" s="60">
        <f t="shared" si="3"/>
        <v>90455.455322398309</v>
      </c>
      <c r="K19" s="60">
        <f t="shared" si="3"/>
        <v>101048.11838846291</v>
      </c>
      <c r="L19" s="60">
        <f t="shared" si="3"/>
        <v>112056.32979200906</v>
      </c>
    </row>
    <row r="21" spans="1:12" x14ac:dyDescent="0.35">
      <c r="A21" s="29" t="s">
        <v>194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</row>
    <row r="22" spans="1:12" x14ac:dyDescent="0.35">
      <c r="A22" s="5" t="s">
        <v>195</v>
      </c>
      <c r="B22" s="22"/>
      <c r="C22" s="26">
        <f>Hist_Data!C51</f>
        <v>89</v>
      </c>
      <c r="D22" s="26">
        <f>Hist_Data!D51</f>
        <v>89</v>
      </c>
      <c r="E22" s="26">
        <f>Hist_Data!E51</f>
        <v>89</v>
      </c>
      <c r="F22" s="26">
        <f>Hist_Data!F51</f>
        <v>89</v>
      </c>
      <c r="G22" s="26">
        <f>Hist_Data!G51</f>
        <v>89</v>
      </c>
      <c r="H22" s="53">
        <f>G22</f>
        <v>89</v>
      </c>
      <c r="I22" s="53">
        <f>H22</f>
        <v>89</v>
      </c>
      <c r="J22" s="53">
        <f>I22</f>
        <v>89</v>
      </c>
      <c r="K22" s="53">
        <f>J22</f>
        <v>89</v>
      </c>
      <c r="L22" s="53">
        <f>K22</f>
        <v>89</v>
      </c>
    </row>
    <row r="23" spans="1:12" x14ac:dyDescent="0.35">
      <c r="A23" s="5" t="s">
        <v>196</v>
      </c>
      <c r="B23" s="22"/>
      <c r="C23" s="53">
        <f>Hist_Data!C52+Hist_Data!C53</f>
        <v>9244</v>
      </c>
      <c r="D23" s="53">
        <f>Hist_Data!D52+Hist_Data!D53</f>
        <v>11815</v>
      </c>
      <c r="E23" s="53">
        <f>Hist_Data!E52+Hist_Data!E53</f>
        <v>9304</v>
      </c>
      <c r="F23" s="53">
        <f>Hist_Data!F52+Hist_Data!F53</f>
        <v>11535</v>
      </c>
      <c r="G23" s="53">
        <f>Hist_Data!G52+Hist_Data!G53</f>
        <v>15614</v>
      </c>
      <c r="H23" s="26">
        <f>Schedules!H90</f>
        <v>20109.71613392001</v>
      </c>
      <c r="I23" s="26">
        <f>Schedules!I90</f>
        <v>25460.261192976672</v>
      </c>
      <c r="J23" s="26">
        <f>Schedules!J90</f>
        <v>31669.851181064834</v>
      </c>
      <c r="K23" s="26">
        <f>Schedules!K90</f>
        <v>38721.644101280821</v>
      </c>
      <c r="L23" s="26">
        <f>Schedules!L90</f>
        <v>46682.938551660758</v>
      </c>
    </row>
    <row r="24" spans="1:12" x14ac:dyDescent="0.35">
      <c r="A24" s="54" t="s">
        <v>197</v>
      </c>
      <c r="B24" s="55"/>
      <c r="C24" s="56">
        <f t="shared" ref="C24:L24" si="4">C22+C23</f>
        <v>9333</v>
      </c>
      <c r="D24" s="56">
        <f t="shared" si="4"/>
        <v>11904</v>
      </c>
      <c r="E24" s="56">
        <f t="shared" si="4"/>
        <v>9393</v>
      </c>
      <c r="F24" s="56">
        <f t="shared" si="4"/>
        <v>11624</v>
      </c>
      <c r="G24" s="56">
        <f t="shared" si="4"/>
        <v>15703</v>
      </c>
      <c r="H24" s="56">
        <f t="shared" si="4"/>
        <v>20198.71613392001</v>
      </c>
      <c r="I24" s="56">
        <f t="shared" si="4"/>
        <v>25549.261192976672</v>
      </c>
      <c r="J24" s="56">
        <f t="shared" si="4"/>
        <v>31758.851181064834</v>
      </c>
      <c r="K24" s="56">
        <f t="shared" si="4"/>
        <v>38810.644101280821</v>
      </c>
      <c r="L24" s="56">
        <f t="shared" si="4"/>
        <v>46771.938551660758</v>
      </c>
    </row>
    <row r="25" spans="1:12" x14ac:dyDescent="0.35">
      <c r="A25" s="5" t="s">
        <v>198</v>
      </c>
      <c r="B25" s="22"/>
      <c r="C25" s="53">
        <f>Hist_Data!C54+Hist_Data!C60</f>
        <v>518</v>
      </c>
      <c r="D25" s="53">
        <f>Hist_Data!D54+Hist_Data!D60</f>
        <v>2195</v>
      </c>
      <c r="E25" s="53">
        <f>Hist_Data!E54+Hist_Data!E60</f>
        <v>7838</v>
      </c>
      <c r="F25" s="53">
        <f>Hist_Data!F54+Hist_Data!F60</f>
        <v>10286</v>
      </c>
      <c r="G25" s="53">
        <f>Hist_Data!G54+Hist_Data!G60</f>
        <v>11378</v>
      </c>
      <c r="H25" s="26">
        <f>Schedules!H63</f>
        <v>11691.929592370401</v>
      </c>
      <c r="I25" s="26">
        <f>Schedules!I63</f>
        <v>10842.989050834831</v>
      </c>
      <c r="J25" s="26">
        <f>Schedules!J63</f>
        <v>9145.4513959531705</v>
      </c>
      <c r="K25" s="26">
        <f>Schedules!K63</f>
        <v>6791.3957781672852</v>
      </c>
      <c r="L25" s="26">
        <f>Schedules!L63</f>
        <v>3715.3909560523525</v>
      </c>
    </row>
    <row r="26" spans="1:12" x14ac:dyDescent="0.35">
      <c r="A26" s="5" t="s">
        <v>199</v>
      </c>
      <c r="B26" s="22"/>
      <c r="C26" s="26">
        <f>Hist_Data!C61</f>
        <v>5398</v>
      </c>
      <c r="D26" s="26">
        <f>Hist_Data!D61</f>
        <v>5299</v>
      </c>
      <c r="E26" s="26">
        <f>Hist_Data!E61</f>
        <v>5341</v>
      </c>
      <c r="F26" s="26">
        <f>Hist_Data!F61</f>
        <v>7810</v>
      </c>
      <c r="G26" s="26">
        <f>Hist_Data!G61</f>
        <v>16070</v>
      </c>
      <c r="H26" s="26">
        <f>Schedules!H23</f>
        <v>18507.760409599996</v>
      </c>
      <c r="I26" s="26">
        <f>Schedules!I23</f>
        <v>21257.418961113424</v>
      </c>
      <c r="J26" s="26">
        <f>Schedules!J23</f>
        <v>23990.932199841132</v>
      </c>
      <c r="K26" s="26">
        <f>Schedules!K23</f>
        <v>26836.298690458996</v>
      </c>
      <c r="L26" s="26">
        <f>Schedules!L23</f>
        <v>29788.291546409488</v>
      </c>
    </row>
    <row r="27" spans="1:12" x14ac:dyDescent="0.35">
      <c r="A27" s="5" t="s">
        <v>200</v>
      </c>
      <c r="B27" s="22"/>
      <c r="C27" s="53">
        <f>Hist_Data!C55+Hist_Data!C62</f>
        <v>1359</v>
      </c>
      <c r="D27" s="53">
        <f>Hist_Data!D55+Hist_Data!D62</f>
        <v>1873</v>
      </c>
      <c r="E27" s="53">
        <f>Hist_Data!E55+Hist_Data!E62</f>
        <v>2349</v>
      </c>
      <c r="F27" s="53">
        <f>Hist_Data!F55+Hist_Data!F62</f>
        <v>2681</v>
      </c>
      <c r="G27" s="53">
        <f>Hist_Data!G55+Hist_Data!G62</f>
        <v>3173</v>
      </c>
      <c r="H27" s="26">
        <f>Schedules!H70</f>
        <v>3476.7012</v>
      </c>
      <c r="I27" s="26">
        <f>Schedules!I70</f>
        <v>3865.5748040000008</v>
      </c>
      <c r="J27" s="26">
        <f>Schedules!J70</f>
        <v>4319.5144134800012</v>
      </c>
      <c r="K27" s="26">
        <f>Schedules!K70</f>
        <v>4830.2105305076002</v>
      </c>
      <c r="L27" s="26">
        <f>Schedules!L70</f>
        <v>5388.9068281529317</v>
      </c>
    </row>
    <row r="28" spans="1:12" x14ac:dyDescent="0.35">
      <c r="A28" s="5" t="s">
        <v>201</v>
      </c>
      <c r="B28" s="22"/>
      <c r="C28" s="53">
        <f>Hist_Data!C63+Hist_Data!C64</f>
        <v>1294</v>
      </c>
      <c r="D28" s="53">
        <f>Hist_Data!D63+Hist_Data!D64</f>
        <v>1214</v>
      </c>
      <c r="E28" s="53">
        <f>Hist_Data!E63+Hist_Data!E64</f>
        <v>1410</v>
      </c>
      <c r="F28" s="53">
        <f>Hist_Data!F63+Hist_Data!F64</f>
        <v>1963</v>
      </c>
      <c r="G28" s="53">
        <f>Hist_Data!G63+Hist_Data!G64</f>
        <v>2864</v>
      </c>
      <c r="H28" s="26">
        <f>Schedules!H13</f>
        <v>3410.5209599999994</v>
      </c>
      <c r="I28" s="26">
        <f>Schedules!I13</f>
        <v>3917.2147962739723</v>
      </c>
      <c r="J28" s="26">
        <f>Schedules!J13</f>
        <v>4420.9334520591765</v>
      </c>
      <c r="K28" s="26">
        <f>Schedules!K13</f>
        <v>4945.2638864482187</v>
      </c>
      <c r="L28" s="26">
        <f>Schedules!L13</f>
        <v>5489.2429139575215</v>
      </c>
    </row>
    <row r="29" spans="1:12" x14ac:dyDescent="0.35">
      <c r="A29" s="5" t="s">
        <v>202</v>
      </c>
      <c r="B29" s="22"/>
      <c r="C29" s="53">
        <f>Hist_Data!C56+Hist_Data!C65</f>
        <v>444</v>
      </c>
      <c r="D29" s="53">
        <f>Hist_Data!D56+Hist_Data!D65</f>
        <v>572</v>
      </c>
      <c r="E29" s="53">
        <f>Hist_Data!E56+Hist_Data!E65</f>
        <v>678</v>
      </c>
      <c r="F29" s="53">
        <f>Hist_Data!F56+Hist_Data!F65</f>
        <v>1336</v>
      </c>
      <c r="G29" s="53">
        <f>Hist_Data!G56+Hist_Data!G65</f>
        <v>4406</v>
      </c>
      <c r="H29" s="26">
        <f>Schedules!H19</f>
        <v>4754.0595199999998</v>
      </c>
      <c r="I29" s="26">
        <f>Schedules!I19</f>
        <v>5467.1684479999994</v>
      </c>
      <c r="J29" s="26">
        <f>Schedules!J19</f>
        <v>6177.9003462399978</v>
      </c>
      <c r="K29" s="26">
        <f>Schedules!K19</f>
        <v>6919.248387788798</v>
      </c>
      <c r="L29" s="26">
        <f>Schedules!L19</f>
        <v>7680.365710445566</v>
      </c>
    </row>
    <row r="30" spans="1:12" x14ac:dyDescent="0.35">
      <c r="A30" s="5" t="s">
        <v>203</v>
      </c>
      <c r="B30" s="22"/>
      <c r="C30" s="26">
        <f>Hist_Data!C66</f>
        <v>2523</v>
      </c>
      <c r="D30" s="26">
        <f>Hist_Data!D66</f>
        <v>3517</v>
      </c>
      <c r="E30" s="26">
        <f>Hist_Data!E66</f>
        <v>4092</v>
      </c>
      <c r="F30" s="26">
        <f>Hist_Data!F66</f>
        <v>4441</v>
      </c>
      <c r="G30" s="26">
        <f>Hist_Data!G66</f>
        <v>6233</v>
      </c>
      <c r="H30" s="26">
        <f>Schedules!H17</f>
        <v>7337.7875199999989</v>
      </c>
      <c r="I30" s="26">
        <f>Schedules!I17</f>
        <v>8438.4556479999974</v>
      </c>
      <c r="J30" s="26">
        <f>Schedules!J17</f>
        <v>9535.4548822399956</v>
      </c>
      <c r="K30" s="26">
        <f>Schedules!K17</f>
        <v>10679.709468108797</v>
      </c>
      <c r="L30" s="26">
        <f>Schedules!L17</f>
        <v>11854.477509600763</v>
      </c>
    </row>
    <row r="31" spans="1:12" x14ac:dyDescent="0.35">
      <c r="A31" s="5" t="s">
        <v>204</v>
      </c>
      <c r="B31" s="22"/>
      <c r="C31" s="53">
        <f>Hist_Data!C57+Hist_Data!C67</f>
        <v>236</v>
      </c>
      <c r="D31" s="53">
        <f>Hist_Data!D57+Hist_Data!D67</f>
        <v>372</v>
      </c>
      <c r="E31" s="53">
        <f>Hist_Data!E57+Hist_Data!E67</f>
        <v>374</v>
      </c>
      <c r="F31" s="53">
        <f>Hist_Data!F57+Hist_Data!F67</f>
        <v>454</v>
      </c>
      <c r="G31" s="53">
        <f>Hist_Data!G57+Hist_Data!G67</f>
        <v>702</v>
      </c>
      <c r="H31" s="26">
        <f>Schedules!H21</f>
        <v>826.79295999999999</v>
      </c>
      <c r="I31" s="26">
        <f>Schedules!I21</f>
        <v>950.81190399999991</v>
      </c>
      <c r="J31" s="26">
        <f>Schedules!J21</f>
        <v>1074.4174515199998</v>
      </c>
      <c r="K31" s="26">
        <f>Schedules!K21</f>
        <v>1203.3475457023997</v>
      </c>
      <c r="L31" s="26">
        <f>Schedules!L21</f>
        <v>1335.7157757296636</v>
      </c>
    </row>
    <row r="32" spans="1:12" x14ac:dyDescent="0.35">
      <c r="A32" s="5" t="s">
        <v>205</v>
      </c>
      <c r="B32" s="22"/>
      <c r="C32" s="53">
        <f>Hist_Data!C58+Hist_Data!C59+Hist_Data!C68+Hist_Data!C69</f>
        <v>89</v>
      </c>
      <c r="D32" s="53">
        <f>Hist_Data!D58+Hist_Data!D59+Hist_Data!D68+Hist_Data!D69</f>
        <v>77</v>
      </c>
      <c r="E32" s="53">
        <f>Hist_Data!E58+Hist_Data!E59+Hist_Data!E68+Hist_Data!E69</f>
        <v>75</v>
      </c>
      <c r="F32" s="53">
        <f>Hist_Data!F58+Hist_Data!F59+Hist_Data!F68+Hist_Data!F69</f>
        <v>52</v>
      </c>
      <c r="G32" s="53">
        <f>Hist_Data!G58+Hist_Data!G59+Hist_Data!G68+Hist_Data!G69</f>
        <v>32</v>
      </c>
      <c r="H32" s="53">
        <f>G32</f>
        <v>32</v>
      </c>
      <c r="I32" s="53">
        <f>H32</f>
        <v>32</v>
      </c>
      <c r="J32" s="53">
        <f>I32</f>
        <v>32</v>
      </c>
      <c r="K32" s="53">
        <f>J32</f>
        <v>32</v>
      </c>
      <c r="L32" s="53">
        <f>K32</f>
        <v>32</v>
      </c>
    </row>
    <row r="33" spans="1:12" x14ac:dyDescent="0.35">
      <c r="A33" s="54" t="s">
        <v>206</v>
      </c>
      <c r="B33" s="55"/>
      <c r="C33" s="56">
        <f t="shared" ref="C33:L33" si="5">SUM(C25:C32)</f>
        <v>11861</v>
      </c>
      <c r="D33" s="56">
        <f t="shared" si="5"/>
        <v>15119</v>
      </c>
      <c r="E33" s="56">
        <f t="shared" si="5"/>
        <v>22157</v>
      </c>
      <c r="F33" s="56">
        <f t="shared" si="5"/>
        <v>29023</v>
      </c>
      <c r="G33" s="56">
        <f t="shared" si="5"/>
        <v>44858</v>
      </c>
      <c r="H33" s="56">
        <f t="shared" si="5"/>
        <v>50037.552161970401</v>
      </c>
      <c r="I33" s="56">
        <f t="shared" si="5"/>
        <v>54771.63361222222</v>
      </c>
      <c r="J33" s="56">
        <f t="shared" si="5"/>
        <v>58696.604141333475</v>
      </c>
      <c r="K33" s="56">
        <f t="shared" si="5"/>
        <v>62237.474287182107</v>
      </c>
      <c r="L33" s="56">
        <f t="shared" si="5"/>
        <v>65284.391240348283</v>
      </c>
    </row>
    <row r="34" spans="1:12" x14ac:dyDescent="0.35">
      <c r="A34" s="58" t="s">
        <v>207</v>
      </c>
      <c r="B34" s="59"/>
      <c r="C34" s="60">
        <f t="shared" ref="C34:L34" si="6">C24+C33</f>
        <v>21194</v>
      </c>
      <c r="D34" s="60">
        <f t="shared" si="6"/>
        <v>27023</v>
      </c>
      <c r="E34" s="60">
        <f t="shared" si="6"/>
        <v>31550</v>
      </c>
      <c r="F34" s="60">
        <f t="shared" si="6"/>
        <v>40647</v>
      </c>
      <c r="G34" s="60">
        <f t="shared" si="6"/>
        <v>60561</v>
      </c>
      <c r="H34" s="60">
        <f t="shared" si="6"/>
        <v>70236.268295890419</v>
      </c>
      <c r="I34" s="60">
        <f t="shared" si="6"/>
        <v>80320.894805198885</v>
      </c>
      <c r="J34" s="60">
        <f t="shared" si="6"/>
        <v>90455.455322398309</v>
      </c>
      <c r="K34" s="60">
        <f t="shared" si="6"/>
        <v>101048.11838846293</v>
      </c>
      <c r="L34" s="60">
        <f t="shared" si="6"/>
        <v>112056.32979200904</v>
      </c>
    </row>
    <row r="36" spans="1:12" x14ac:dyDescent="0.35">
      <c r="A36" s="62" t="s">
        <v>208</v>
      </c>
      <c r="B36" s="22"/>
      <c r="C36" s="63">
        <f t="shared" ref="C36:L36" si="7">ROUND(C19-C34,2)</f>
        <v>0</v>
      </c>
      <c r="D36" s="63">
        <f t="shared" si="7"/>
        <v>0</v>
      </c>
      <c r="E36" s="63">
        <f t="shared" si="7"/>
        <v>0</v>
      </c>
      <c r="F36" s="63">
        <f t="shared" si="7"/>
        <v>0</v>
      </c>
      <c r="G36" s="63">
        <f t="shared" si="7"/>
        <v>0</v>
      </c>
      <c r="H36" s="63">
        <f t="shared" si="7"/>
        <v>0</v>
      </c>
      <c r="I36" s="63">
        <f t="shared" si="7"/>
        <v>0</v>
      </c>
      <c r="J36" s="63">
        <f t="shared" si="7"/>
        <v>0</v>
      </c>
      <c r="K36" s="63">
        <f t="shared" si="7"/>
        <v>0</v>
      </c>
      <c r="L36" s="63">
        <f t="shared" si="7"/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L38"/>
  <sheetViews>
    <sheetView workbookViewId="0">
      <pane xSplit="2" ySplit="4" topLeftCell="C36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0" customWidth="1"/>
    <col min="2" max="2" width="11" customWidth="1"/>
    <col min="3" max="12" width="13" customWidth="1"/>
  </cols>
  <sheetData>
    <row r="1" spans="1:12" ht="19.5" x14ac:dyDescent="0.45">
      <c r="A1" s="9" t="s">
        <v>209</v>
      </c>
    </row>
    <row r="2" spans="1:12" x14ac:dyDescent="0.35">
      <c r="A2" s="10" t="s">
        <v>210</v>
      </c>
    </row>
    <row r="4" spans="1:12" x14ac:dyDescent="0.35">
      <c r="A4" s="18" t="s">
        <v>156</v>
      </c>
      <c r="B4" s="19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1" t="s">
        <v>67</v>
      </c>
      <c r="I4" s="21" t="s">
        <v>68</v>
      </c>
      <c r="J4" s="21" t="s">
        <v>69</v>
      </c>
      <c r="K4" s="21" t="s">
        <v>70</v>
      </c>
      <c r="L4" s="21" t="s">
        <v>71</v>
      </c>
    </row>
    <row r="5" spans="1:12" x14ac:dyDescent="0.35">
      <c r="A5" s="5" t="s">
        <v>171</v>
      </c>
      <c r="B5" s="22"/>
      <c r="C5" s="26">
        <f>IS!C24</f>
        <v>2904</v>
      </c>
      <c r="D5" s="26">
        <f>IS!D24</f>
        <v>4447</v>
      </c>
      <c r="E5" s="26">
        <f>IS!E24</f>
        <v>4623</v>
      </c>
      <c r="F5" s="26">
        <f>IS!F24</f>
        <v>4535</v>
      </c>
      <c r="G5" s="26">
        <f>IS!G24</f>
        <v>6801</v>
      </c>
      <c r="H5" s="26">
        <f>IS!H24</f>
        <v>7862.5015200000125</v>
      </c>
      <c r="I5" s="26">
        <f>IS!I24</f>
        <v>9295.187822004109</v>
      </c>
      <c r="J5" s="26">
        <f>IS!J24</f>
        <v>10833.547880960094</v>
      </c>
      <c r="K5" s="26">
        <f>IS!K24</f>
        <v>12377.863450936957</v>
      </c>
      <c r="L5" s="26">
        <f>IS!L24</f>
        <v>14013.999606793113</v>
      </c>
    </row>
    <row r="6" spans="1:12" x14ac:dyDescent="0.35">
      <c r="A6" s="5" t="s">
        <v>211</v>
      </c>
      <c r="B6" s="22"/>
      <c r="C6" s="26">
        <f>IS!C16</f>
        <v>399</v>
      </c>
      <c r="D6" s="26">
        <f>IS!D16</f>
        <v>441</v>
      </c>
      <c r="E6" s="26">
        <f>IS!E16</f>
        <v>584</v>
      </c>
      <c r="F6" s="26">
        <f>IS!F16</f>
        <v>693</v>
      </c>
      <c r="G6" s="26">
        <f>IS!G16</f>
        <v>826</v>
      </c>
      <c r="H6" s="26">
        <f>IS!H16</f>
        <v>1135.56</v>
      </c>
      <c r="I6" s="26">
        <f>IS!I16</f>
        <v>1356.1918617599999</v>
      </c>
      <c r="J6" s="26">
        <f>IS!J16</f>
        <v>1597.8885422591998</v>
      </c>
      <c r="K6" s="26">
        <f>IS!K16</f>
        <v>1856.5236364139519</v>
      </c>
      <c r="L6" s="26">
        <f>IS!L16</f>
        <v>2131.8286638692348</v>
      </c>
    </row>
    <row r="7" spans="1:12" x14ac:dyDescent="0.35">
      <c r="A7" s="5" t="s">
        <v>212</v>
      </c>
      <c r="B7" s="22"/>
      <c r="C7" s="26">
        <f>IS!C21</f>
        <v>218</v>
      </c>
      <c r="D7" s="26">
        <f>IS!D21</f>
        <v>300</v>
      </c>
      <c r="E7" s="26">
        <f>IS!E21</f>
        <v>619</v>
      </c>
      <c r="F7" s="26">
        <f>IS!F21</f>
        <v>953</v>
      </c>
      <c r="G7" s="26">
        <f>IS!G21</f>
        <v>1180</v>
      </c>
      <c r="H7" s="26">
        <f>IS!H21</f>
        <v>1411.5239999999999</v>
      </c>
      <c r="I7" s="26">
        <f>IS!I21</f>
        <v>1527.7600762358832</v>
      </c>
      <c r="J7" s="26">
        <f>IS!J21</f>
        <v>1593.2602471807095</v>
      </c>
      <c r="K7" s="26">
        <f>IS!K21</f>
        <v>1614.9295119738767</v>
      </c>
      <c r="L7" s="26">
        <f>IS!L21</f>
        <v>1606.8725649026974</v>
      </c>
    </row>
    <row r="8" spans="1:12" x14ac:dyDescent="0.35">
      <c r="A8" s="5" t="s">
        <v>213</v>
      </c>
      <c r="B8" s="22"/>
      <c r="C8" s="53">
        <f>Hist_Data!C94-C5-C6-C7-C10-C11-C12-C13-C14-C15-C16</f>
        <v>-222</v>
      </c>
      <c r="D8" s="53">
        <f>Hist_Data!D94-D5-D6-D7-D10-D11-D12-D13-D14-D15-D16</f>
        <v>-251</v>
      </c>
      <c r="E8" s="53">
        <f>Hist_Data!E94-E5-E6-E7-E10-E11-E12-E13-E14-E15-E16</f>
        <v>-422</v>
      </c>
      <c r="F8" s="53">
        <f>Hist_Data!F94-F5-F6-F7-F10-F11-F12-F13-F14-F15-F16</f>
        <v>-407</v>
      </c>
      <c r="G8" s="53">
        <f>Hist_Data!G94-G5-G6-G7-G10-G11-G12-G13-G14-G15-G16</f>
        <v>-360</v>
      </c>
      <c r="H8" s="53">
        <f>-IS!H20-IS!H22</f>
        <v>-488.07</v>
      </c>
      <c r="I8" s="53">
        <f>-IS!I20-IS!I22</f>
        <v>-531.69393600000001</v>
      </c>
      <c r="J8" s="53">
        <f>-IS!J20-IS!J22</f>
        <v>-594.47852639999996</v>
      </c>
      <c r="K8" s="53">
        <f>-IS!K20-IS!K22</f>
        <v>-657.05383483199989</v>
      </c>
      <c r="L8" s="53">
        <f>-IS!L20-IS!L22</f>
        <v>-722.32469501183971</v>
      </c>
    </row>
    <row r="9" spans="1:12" x14ac:dyDescent="0.35">
      <c r="A9" s="54" t="s">
        <v>214</v>
      </c>
      <c r="B9" s="55"/>
      <c r="C9" s="56">
        <f t="shared" ref="C9:L9" si="0">SUM(C5:C8)</f>
        <v>3299</v>
      </c>
      <c r="D9" s="56">
        <f t="shared" si="0"/>
        <v>4937</v>
      </c>
      <c r="E9" s="56">
        <f t="shared" si="0"/>
        <v>5404</v>
      </c>
      <c r="F9" s="56">
        <f t="shared" si="0"/>
        <v>5774</v>
      </c>
      <c r="G9" s="56">
        <f t="shared" si="0"/>
        <v>8447</v>
      </c>
      <c r="H9" s="56">
        <f t="shared" si="0"/>
        <v>9921.5155200000117</v>
      </c>
      <c r="I9" s="56">
        <f t="shared" si="0"/>
        <v>11647.445823999993</v>
      </c>
      <c r="J9" s="56">
        <f t="shared" si="0"/>
        <v>13430.218144000002</v>
      </c>
      <c r="K9" s="56">
        <f t="shared" si="0"/>
        <v>15192.262764492783</v>
      </c>
      <c r="L9" s="56">
        <f t="shared" si="0"/>
        <v>17030.376140553206</v>
      </c>
    </row>
    <row r="10" spans="1:12" x14ac:dyDescent="0.35">
      <c r="A10" s="5" t="s">
        <v>215</v>
      </c>
      <c r="B10" s="22"/>
      <c r="C10" s="26">
        <f>Hist_Data!C83</f>
        <v>-207</v>
      </c>
      <c r="D10" s="26">
        <f>Hist_Data!D83</f>
        <v>-112</v>
      </c>
      <c r="E10" s="26">
        <f>Hist_Data!E83</f>
        <v>-348</v>
      </c>
      <c r="F10" s="26">
        <f>Hist_Data!F83</f>
        <v>-95</v>
      </c>
      <c r="G10" s="26">
        <f>Hist_Data!G83</f>
        <v>210</v>
      </c>
      <c r="H10" s="53">
        <f>-(BS!H14-BS!G14)</f>
        <v>-216.59309589041095</v>
      </c>
      <c r="I10" s="53">
        <f>-(BS!I14-BS!H14)</f>
        <v>-169.88896438356142</v>
      </c>
      <c r="J10" s="53">
        <f>-(BS!J14-BS!I14)</f>
        <v>-169.32266783561613</v>
      </c>
      <c r="K10" s="53">
        <f>-(BS!K14-BS!J14)</f>
        <v>-176.6165673731507</v>
      </c>
      <c r="L10" s="53">
        <f>-(BS!L14-BS!K14)</f>
        <v>-181.32634250310139</v>
      </c>
    </row>
    <row r="11" spans="1:12" x14ac:dyDescent="0.35">
      <c r="A11" s="5" t="s">
        <v>216</v>
      </c>
      <c r="B11" s="22"/>
      <c r="C11" s="26">
        <f>Hist_Data!C84</f>
        <v>-5199</v>
      </c>
      <c r="D11" s="26">
        <f>Hist_Data!D84</f>
        <v>-2977</v>
      </c>
      <c r="E11" s="26">
        <f>Hist_Data!E84</f>
        <v>-2462</v>
      </c>
      <c r="F11" s="26">
        <f>Hist_Data!F84</f>
        <v>-9072</v>
      </c>
      <c r="G11" s="26">
        <f>Hist_Data!G84</f>
        <v>-11592</v>
      </c>
      <c r="H11" s="53">
        <f>-(BS!H13-BS!G13)</f>
        <v>-7277.9740799999927</v>
      </c>
      <c r="I11" s="53">
        <f>-(BS!I13-BS!H13)</f>
        <v>-7431.5095986849337</v>
      </c>
      <c r="J11" s="53">
        <f>-(BS!J13-BS!I13)</f>
        <v>-7387.8736181829954</v>
      </c>
      <c r="K11" s="53">
        <f>-(BS!K13-BS!J13)</f>
        <v>-7690.179704372611</v>
      </c>
      <c r="L11" s="53">
        <f>-(BS!L13-BS!K13)</f>
        <v>-7978.3590701364592</v>
      </c>
    </row>
    <row r="12" spans="1:12" x14ac:dyDescent="0.35">
      <c r="A12" s="5" t="s">
        <v>217</v>
      </c>
      <c r="B12" s="22"/>
      <c r="C12" s="53">
        <f>Hist_Data!C85+Hist_Data!C86+Hist_Data!C87</f>
        <v>-255</v>
      </c>
      <c r="D12" s="53">
        <f>Hist_Data!D85+Hist_Data!D86+Hist_Data!D87</f>
        <v>-307</v>
      </c>
      <c r="E12" s="53">
        <f>Hist_Data!E85+Hist_Data!E86+Hist_Data!E87</f>
        <v>-632</v>
      </c>
      <c r="F12" s="53">
        <f>Hist_Data!F85+Hist_Data!F86+Hist_Data!F87</f>
        <v>-156</v>
      </c>
      <c r="G12" s="53">
        <f>Hist_Data!G85+Hist_Data!G86+Hist_Data!G87</f>
        <v>-469</v>
      </c>
      <c r="H12" s="53">
        <f>-(BS!H15-BS!G15)</f>
        <v>-557.87008000000014</v>
      </c>
      <c r="I12" s="53">
        <f>-(BS!I15-BS!H15)</f>
        <v>-527.08051199999954</v>
      </c>
      <c r="J12" s="53">
        <f>-(BS!J15-BS!I15)</f>
        <v>-525.32357695999917</v>
      </c>
      <c r="K12" s="53">
        <f>-(BS!K15-BS!J15)</f>
        <v>-547.95290027520059</v>
      </c>
      <c r="L12" s="53">
        <f>-(BS!L15-BS!K15)</f>
        <v>-562.56497761587161</v>
      </c>
    </row>
    <row r="13" spans="1:12" x14ac:dyDescent="0.35">
      <c r="A13" s="5" t="s">
        <v>218</v>
      </c>
      <c r="B13" s="22"/>
      <c r="C13" s="26">
        <f>Hist_Data!C88</f>
        <v>1188</v>
      </c>
      <c r="D13" s="26">
        <f>Hist_Data!D88</f>
        <v>-99</v>
      </c>
      <c r="E13" s="26">
        <f>Hist_Data!E88</f>
        <v>42</v>
      </c>
      <c r="F13" s="26">
        <f>Hist_Data!F88</f>
        <v>2468</v>
      </c>
      <c r="G13" s="26">
        <f>Hist_Data!G88</f>
        <v>7304</v>
      </c>
      <c r="H13" s="53">
        <f>BS!H26-BS!G26</f>
        <v>2437.7604095999959</v>
      </c>
      <c r="I13" s="53">
        <f>BS!I26-BS!H26</f>
        <v>2749.6585515134284</v>
      </c>
      <c r="J13" s="53">
        <f>BS!J26-BS!I26</f>
        <v>2733.5132387277081</v>
      </c>
      <c r="K13" s="53">
        <f>BS!K26-BS!J26</f>
        <v>2845.3664906178637</v>
      </c>
      <c r="L13" s="53">
        <f>BS!L26-BS!K26</f>
        <v>2951.9928559504915</v>
      </c>
    </row>
    <row r="14" spans="1:12" x14ac:dyDescent="0.35">
      <c r="A14" s="5" t="s">
        <v>219</v>
      </c>
      <c r="B14" s="22"/>
      <c r="C14" s="26">
        <f>Hist_Data!C89</f>
        <v>504</v>
      </c>
      <c r="D14" s="26">
        <f>Hist_Data!D89</f>
        <v>-89</v>
      </c>
      <c r="E14" s="26">
        <f>Hist_Data!E89</f>
        <v>196</v>
      </c>
      <c r="F14" s="26">
        <f>Hist_Data!F89</f>
        <v>564</v>
      </c>
      <c r="G14" s="26">
        <f>Hist_Data!G89</f>
        <v>472</v>
      </c>
      <c r="H14" s="53">
        <f>BS!H28-BS!G28</f>
        <v>546.52095999999938</v>
      </c>
      <c r="I14" s="53">
        <f>BS!I28-BS!H28</f>
        <v>506.69383627397292</v>
      </c>
      <c r="J14" s="53">
        <f>BS!J28-BS!I28</f>
        <v>503.71865578520419</v>
      </c>
      <c r="K14" s="53">
        <f>BS!K28-BS!J28</f>
        <v>524.33043438904224</v>
      </c>
      <c r="L14" s="53">
        <f>BS!L28-BS!K28</f>
        <v>543.9790275093028</v>
      </c>
    </row>
    <row r="15" spans="1:12" x14ac:dyDescent="0.35">
      <c r="A15" s="5" t="s">
        <v>220</v>
      </c>
      <c r="B15" s="22"/>
      <c r="C15" s="53">
        <f>Hist_Data!C90+Hist_Data!C91+Hist_Data!C92</f>
        <v>748</v>
      </c>
      <c r="D15" s="53">
        <f>Hist_Data!D90+Hist_Data!D91+Hist_Data!D92</f>
        <v>1171</v>
      </c>
      <c r="E15" s="53">
        <f>Hist_Data!E90+Hist_Data!E91+Hist_Data!E92</f>
        <v>668</v>
      </c>
      <c r="F15" s="53">
        <f>Hist_Data!F90+Hist_Data!F91+Hist_Data!F92</f>
        <v>1065</v>
      </c>
      <c r="G15" s="53">
        <f>Hist_Data!G90+Hist_Data!G91+Hist_Data!G92</f>
        <v>2955</v>
      </c>
      <c r="H15" s="53">
        <f>(BS!H29-BS!G29)+(BS!H30-BS!G30)+(BS!H31-BS!G31)+(BS!H32-BS!G32)</f>
        <v>1577.6399999999987</v>
      </c>
      <c r="I15" s="53">
        <f>(BS!I29-BS!H29)+(BS!I30-BS!H30)+(BS!I31-BS!H31)+(BS!I32-BS!H32)</f>
        <v>1937.795999999998</v>
      </c>
      <c r="J15" s="53">
        <f>(BS!J29-BS!I29)+(BS!J30-BS!I30)+(BS!J31-BS!I31)+(BS!J32-BS!I32)</f>
        <v>1931.3366799999965</v>
      </c>
      <c r="K15" s="53">
        <f>(BS!K29-BS!J29)+(BS!K30-BS!J30)+(BS!K31-BS!J31)+(BS!K32-BS!J32)</f>
        <v>2014.532721600001</v>
      </c>
      <c r="L15" s="53">
        <f>(BS!L29-BS!K29)+(BS!L30-BS!K30)+(BS!L31-BS!K31)+(BS!L32-BS!K32)</f>
        <v>2068.2535941759988</v>
      </c>
    </row>
    <row r="16" spans="1:12" x14ac:dyDescent="0.35">
      <c r="A16" s="5" t="s">
        <v>221</v>
      </c>
      <c r="B16" s="22"/>
      <c r="C16" s="26">
        <f>Hist_Data!C93</f>
        <v>-802</v>
      </c>
      <c r="D16" s="26">
        <f>Hist_Data!D93</f>
        <v>-1154</v>
      </c>
      <c r="E16" s="26">
        <f>Hist_Data!E93</f>
        <v>-1173</v>
      </c>
      <c r="F16" s="26">
        <f>Hist_Data!F93</f>
        <v>-1089</v>
      </c>
      <c r="G16" s="26">
        <f>Hist_Data!G93</f>
        <v>-1737</v>
      </c>
      <c r="H16" s="26">
        <f>-IS!H25</f>
        <v>-1997.0753860800032</v>
      </c>
      <c r="I16" s="26">
        <f>-IS!I25</f>
        <v>-2360.9777067890436</v>
      </c>
      <c r="J16" s="26">
        <f>-IS!J25</f>
        <v>-2751.7211617638636</v>
      </c>
      <c r="K16" s="26">
        <f>-IS!K25</f>
        <v>-3143.977316537987</v>
      </c>
      <c r="L16" s="26">
        <f>-IS!L25</f>
        <v>-3559.555900125451</v>
      </c>
    </row>
    <row r="17" spans="1:12" x14ac:dyDescent="0.35">
      <c r="A17" s="58" t="s">
        <v>85</v>
      </c>
      <c r="B17" s="59"/>
      <c r="C17" s="60">
        <f t="shared" ref="C17:L17" si="1">SUM(C9:C16)</f>
        <v>-724</v>
      </c>
      <c r="D17" s="60">
        <f t="shared" si="1"/>
        <v>1370</v>
      </c>
      <c r="E17" s="60">
        <f t="shared" si="1"/>
        <v>1695</v>
      </c>
      <c r="F17" s="60">
        <f t="shared" si="1"/>
        <v>-541</v>
      </c>
      <c r="G17" s="60">
        <f t="shared" si="1"/>
        <v>5590</v>
      </c>
      <c r="H17" s="60">
        <f t="shared" si="1"/>
        <v>4433.9242476295994</v>
      </c>
      <c r="I17" s="60">
        <f t="shared" si="1"/>
        <v>6352.1374299298541</v>
      </c>
      <c r="J17" s="60">
        <f t="shared" si="1"/>
        <v>7764.5456937704348</v>
      </c>
      <c r="K17" s="60">
        <f t="shared" si="1"/>
        <v>9017.7659225407424</v>
      </c>
      <c r="L17" s="60">
        <f t="shared" si="1"/>
        <v>10312.795327808119</v>
      </c>
    </row>
    <row r="19" spans="1:12" x14ac:dyDescent="0.35">
      <c r="A19" s="5" t="s">
        <v>222</v>
      </c>
      <c r="B19" s="22"/>
      <c r="C19" s="26">
        <f>Hist_Data!C95</f>
        <v>-224</v>
      </c>
      <c r="D19" s="26">
        <f>Hist_Data!D95</f>
        <v>-432</v>
      </c>
      <c r="E19" s="26">
        <f>Hist_Data!E95</f>
        <v>-691</v>
      </c>
      <c r="F19" s="26">
        <f>Hist_Data!F95</f>
        <v>-494</v>
      </c>
      <c r="G19" s="26">
        <f>Hist_Data!G95</f>
        <v>-902</v>
      </c>
      <c r="H19" s="26">
        <f>-Schedules!H32</f>
        <v>-1240.1894399999999</v>
      </c>
      <c r="I19" s="26">
        <f>-Schedules!I32</f>
        <v>-1426.2178559999998</v>
      </c>
      <c r="J19" s="26">
        <f>-Schedules!J32</f>
        <v>-1611.6261772799994</v>
      </c>
      <c r="K19" s="26">
        <f>-Schedules!K32</f>
        <v>-1805.0213185535995</v>
      </c>
      <c r="L19" s="26">
        <f>-Schedules!L32</f>
        <v>-2003.5736635944957</v>
      </c>
    </row>
    <row r="20" spans="1:12" x14ac:dyDescent="0.35">
      <c r="A20" s="5" t="s">
        <v>223</v>
      </c>
      <c r="B20" s="22"/>
      <c r="C20" s="53">
        <f>Hist_Data!C96-C19</f>
        <v>1388</v>
      </c>
      <c r="D20" s="53">
        <f>Hist_Data!D96-D19</f>
        <v>-1379</v>
      </c>
      <c r="E20" s="53">
        <f>Hist_Data!E96-E19</f>
        <v>502</v>
      </c>
      <c r="F20" s="53">
        <f>Hist_Data!F96-F19</f>
        <v>1040</v>
      </c>
      <c r="G20" s="53">
        <f>Hist_Data!G96-G19</f>
        <v>-2032</v>
      </c>
      <c r="H20" s="53">
        <f>-(BS!H16-BS!G16)-(BS!H10-BS!G10)-(BS!H11-BS!G11)-(BS!H8-BS!G8)+IS!H20+IS!H22</f>
        <v>163.85079999999999</v>
      </c>
      <c r="I20" s="53">
        <f>-(BS!I16-BS!H16)-(BS!I10-BS!H10)-(BS!I11-BS!H11)-(BS!I8-BS!H8)+IS!I20+IS!I22</f>
        <v>-10.888943999999469</v>
      </c>
      <c r="J20" s="53">
        <f>-(BS!J16-BS!I16)-(BS!J10-BS!I10)-(BS!J11-BS!I11)-(BS!J8-BS!I8)+IS!J20+IS!J22</f>
        <v>53.704256000000669</v>
      </c>
      <c r="K20" s="53">
        <f>-(BS!K16-BS!J16)-(BS!K10-BS!J10)-(BS!K11-BS!J11)-(BS!K8-BS!J8)+IS!K20+IS!K22</f>
        <v>92.984672783999713</v>
      </c>
      <c r="L20" s="53">
        <f>-(BS!L16-BS!K16)-(BS!L10-BS!K10)-(BS!L11-BS!K11)-(BS!L8-BS!K8)+IS!L20+IS!L22</f>
        <v>143.2136886425593</v>
      </c>
    </row>
    <row r="21" spans="1:12" x14ac:dyDescent="0.35">
      <c r="A21" s="58" t="s">
        <v>224</v>
      </c>
      <c r="B21" s="59"/>
      <c r="C21" s="60">
        <f t="shared" ref="C21:L21" si="2">C19+C20</f>
        <v>1164</v>
      </c>
      <c r="D21" s="60">
        <f t="shared" si="2"/>
        <v>-1811</v>
      </c>
      <c r="E21" s="60">
        <f t="shared" si="2"/>
        <v>-189</v>
      </c>
      <c r="F21" s="60">
        <f t="shared" si="2"/>
        <v>546</v>
      </c>
      <c r="G21" s="60">
        <f t="shared" si="2"/>
        <v>-2934</v>
      </c>
      <c r="H21" s="60">
        <f t="shared" si="2"/>
        <v>-1076.3386399999999</v>
      </c>
      <c r="I21" s="60">
        <f t="shared" si="2"/>
        <v>-1437.1067999999991</v>
      </c>
      <c r="J21" s="60">
        <f t="shared" si="2"/>
        <v>-1557.9219212799987</v>
      </c>
      <c r="K21" s="60">
        <f t="shared" si="2"/>
        <v>-1712.0366457695998</v>
      </c>
      <c r="L21" s="60">
        <f t="shared" si="2"/>
        <v>-1860.3599749519362</v>
      </c>
    </row>
    <row r="23" spans="1:12" x14ac:dyDescent="0.35">
      <c r="A23" s="5" t="s">
        <v>225</v>
      </c>
      <c r="B23" s="22"/>
      <c r="C23" s="53">
        <f>Hist_Data!C101+Hist_Data!C102</f>
        <v>-7</v>
      </c>
      <c r="D23" s="53">
        <f>Hist_Data!D101+Hist_Data!D102</f>
        <v>-7</v>
      </c>
      <c r="E23" s="53">
        <f>Hist_Data!E101+Hist_Data!E102</f>
        <v>3301</v>
      </c>
      <c r="F23" s="53">
        <f>Hist_Data!F101+Hist_Data!F102</f>
        <v>-308</v>
      </c>
      <c r="G23" s="53">
        <f>Hist_Data!G101+Hist_Data!G102</f>
        <v>-2632</v>
      </c>
      <c r="H23" s="26">
        <f>-Schedules!H55</f>
        <v>-93</v>
      </c>
      <c r="I23" s="26">
        <f>-Schedules!I55</f>
        <v>0</v>
      </c>
      <c r="J23" s="26">
        <f>-Schedules!J55</f>
        <v>0</v>
      </c>
      <c r="K23" s="26">
        <f>-Schedules!K55</f>
        <v>0</v>
      </c>
      <c r="L23" s="26">
        <f>-Schedules!L55</f>
        <v>0</v>
      </c>
    </row>
    <row r="24" spans="1:12" x14ac:dyDescent="0.35">
      <c r="A24" s="5" t="s">
        <v>226</v>
      </c>
      <c r="B24" s="22"/>
      <c r="C24" s="26">
        <f>Hist_Data!C103</f>
        <v>349</v>
      </c>
      <c r="D24" s="26">
        <f>Hist_Data!D103</f>
        <v>1684</v>
      </c>
      <c r="E24" s="26">
        <f>Hist_Data!E103</f>
        <v>2328</v>
      </c>
      <c r="F24" s="26">
        <f>Hist_Data!F103</f>
        <v>2529</v>
      </c>
      <c r="G24" s="26">
        <f>Hist_Data!G103</f>
        <v>3314</v>
      </c>
      <c r="H24" s="26">
        <f>Schedules!H61</f>
        <v>406.92959237040054</v>
      </c>
      <c r="I24" s="26">
        <f>Schedules!I61</f>
        <v>-848.94054153556999</v>
      </c>
      <c r="J24" s="26">
        <f>Schedules!J61</f>
        <v>-1697.5376548816598</v>
      </c>
      <c r="K24" s="26">
        <f>Schedules!K61</f>
        <v>-2354.0556177858848</v>
      </c>
      <c r="L24" s="26">
        <f>Schedules!L61</f>
        <v>-3076.0048221149327</v>
      </c>
    </row>
    <row r="25" spans="1:12" x14ac:dyDescent="0.35">
      <c r="A25" s="5" t="s">
        <v>227</v>
      </c>
      <c r="B25" s="22"/>
      <c r="C25" s="26">
        <f>Hist_Data!C104</f>
        <v>-355</v>
      </c>
      <c r="D25" s="26">
        <f>Hist_Data!D104</f>
        <v>-666</v>
      </c>
      <c r="E25" s="26">
        <f>Hist_Data!E104</f>
        <v>-888</v>
      </c>
      <c r="F25" s="26">
        <f>Hist_Data!F104</f>
        <v>-976</v>
      </c>
      <c r="G25" s="26">
        <f>Hist_Data!G104</f>
        <v>-976</v>
      </c>
      <c r="H25" s="26">
        <f>-Schedules!H89</f>
        <v>-1369.71</v>
      </c>
      <c r="I25" s="26">
        <f>-Schedules!I89</f>
        <v>-1583.6650561584026</v>
      </c>
      <c r="J25" s="26">
        <f>-Schedules!J89</f>
        <v>-1872.2367311080677</v>
      </c>
      <c r="K25" s="26">
        <f>-Schedules!K89</f>
        <v>-2182.0932141829821</v>
      </c>
      <c r="L25" s="26">
        <f>-Schedules!L89</f>
        <v>-2493.149256287722</v>
      </c>
    </row>
    <row r="26" spans="1:12" x14ac:dyDescent="0.35">
      <c r="A26" s="5" t="s">
        <v>228</v>
      </c>
      <c r="B26" s="22"/>
      <c r="C26" s="26">
        <f>Hist_Data!C105</f>
        <v>-172</v>
      </c>
      <c r="D26" s="26">
        <f>Hist_Data!D105</f>
        <v>-254</v>
      </c>
      <c r="E26" s="26">
        <f>Hist_Data!E105</f>
        <v>-318</v>
      </c>
      <c r="F26" s="26">
        <f>Hist_Data!F105</f>
        <v>-700</v>
      </c>
      <c r="G26" s="26">
        <f>Hist_Data!G105</f>
        <v>-865</v>
      </c>
      <c r="H26" s="26">
        <f>-Schedules!H69</f>
        <v>-1015.36</v>
      </c>
      <c r="I26" s="26">
        <f>-Schedules!I69</f>
        <v>-1112.544384</v>
      </c>
      <c r="J26" s="26">
        <f>-Schedules!J69</f>
        <v>-1236.9839372800002</v>
      </c>
      <c r="K26" s="26">
        <f>-Schedules!K69</f>
        <v>-1382.2446123136003</v>
      </c>
      <c r="L26" s="26">
        <f>-Schedules!L69</f>
        <v>-1545.6673697624321</v>
      </c>
    </row>
    <row r="27" spans="1:12" x14ac:dyDescent="0.35">
      <c r="A27" s="5" t="s">
        <v>229</v>
      </c>
      <c r="B27" s="22"/>
      <c r="C27" s="26">
        <f>Hist_Data!C106</f>
        <v>-218</v>
      </c>
      <c r="D27" s="26">
        <f>Hist_Data!D106</f>
        <v>-300</v>
      </c>
      <c r="E27" s="26">
        <f>Hist_Data!E106</f>
        <v>-619</v>
      </c>
      <c r="F27" s="26">
        <f>Hist_Data!F106</f>
        <v>-538</v>
      </c>
      <c r="G27" s="26">
        <f>Hist_Data!G106</f>
        <v>-1000</v>
      </c>
      <c r="H27" s="26">
        <f>-Schedules!H76</f>
        <v>-1125.954</v>
      </c>
      <c r="I27" s="26">
        <f>-Schedules!I76</f>
        <v>-1214.8569682358832</v>
      </c>
      <c r="J27" s="26">
        <f>-Schedules!J76</f>
        <v>-1245.3585148207094</v>
      </c>
      <c r="K27" s="26">
        <f>-Schedules!K76</f>
        <v>-1226.1732147606767</v>
      </c>
      <c r="L27" s="26">
        <f>-Schedules!L76</f>
        <v>-1172.1536171570135</v>
      </c>
    </row>
    <row r="28" spans="1:12" x14ac:dyDescent="0.35">
      <c r="A28" s="5" t="s">
        <v>230</v>
      </c>
      <c r="B28" s="22"/>
      <c r="C28" s="53">
        <f>Hist_Data!C97-SUM(C23:C27)</f>
        <v>0</v>
      </c>
      <c r="D28" s="53">
        <f>Hist_Data!D97-SUM(D23:D27)</f>
        <v>0</v>
      </c>
      <c r="E28" s="53">
        <f>Hist_Data!E97-SUM(E23:E27)</f>
        <v>-5133</v>
      </c>
      <c r="F28" s="53">
        <f>Hist_Data!F97-SUM(F23:F27)</f>
        <v>-14</v>
      </c>
      <c r="G28" s="53">
        <f>Hist_Data!G97-SUM(G23:G27)</f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</row>
    <row r="29" spans="1:12" x14ac:dyDescent="0.35">
      <c r="A29" s="58" t="s">
        <v>231</v>
      </c>
      <c r="B29" s="59"/>
      <c r="C29" s="60">
        <f t="shared" ref="C29:L29" si="3">SUM(C23:C28)</f>
        <v>-403</v>
      </c>
      <c r="D29" s="60">
        <f t="shared" si="3"/>
        <v>457</v>
      </c>
      <c r="E29" s="60">
        <f t="shared" si="3"/>
        <v>-1329</v>
      </c>
      <c r="F29" s="60">
        <f t="shared" si="3"/>
        <v>-7</v>
      </c>
      <c r="G29" s="60">
        <f t="shared" si="3"/>
        <v>-2159</v>
      </c>
      <c r="H29" s="60">
        <f t="shared" si="3"/>
        <v>-3197.0944076295991</v>
      </c>
      <c r="I29" s="60">
        <f t="shared" si="3"/>
        <v>-4760.0069499298552</v>
      </c>
      <c r="J29" s="60">
        <f t="shared" si="3"/>
        <v>-6052.1168380904364</v>
      </c>
      <c r="K29" s="60">
        <f t="shared" si="3"/>
        <v>-7144.5666590431447</v>
      </c>
      <c r="L29" s="60">
        <f t="shared" si="3"/>
        <v>-8286.9750653220999</v>
      </c>
    </row>
    <row r="31" spans="1:12" x14ac:dyDescent="0.35">
      <c r="A31" s="4" t="s">
        <v>232</v>
      </c>
      <c r="B31" s="22"/>
      <c r="C31" s="50">
        <f t="shared" ref="C31:L31" si="4">C17+C21+C29</f>
        <v>37</v>
      </c>
      <c r="D31" s="50">
        <f t="shared" si="4"/>
        <v>16</v>
      </c>
      <c r="E31" s="50">
        <f t="shared" si="4"/>
        <v>177</v>
      </c>
      <c r="F31" s="50">
        <f t="shared" si="4"/>
        <v>-2</v>
      </c>
      <c r="G31" s="50">
        <f t="shared" si="4"/>
        <v>497</v>
      </c>
      <c r="H31" s="50">
        <f t="shared" si="4"/>
        <v>160.49120000000039</v>
      </c>
      <c r="I31" s="50">
        <f t="shared" si="4"/>
        <v>155.02368000000024</v>
      </c>
      <c r="J31" s="50">
        <f t="shared" si="4"/>
        <v>154.50693439999941</v>
      </c>
      <c r="K31" s="50">
        <f t="shared" si="4"/>
        <v>161.16261772799771</v>
      </c>
      <c r="L31" s="50">
        <f t="shared" si="4"/>
        <v>165.46028753408245</v>
      </c>
    </row>
    <row r="32" spans="1:12" x14ac:dyDescent="0.35">
      <c r="A32" s="5" t="s">
        <v>233</v>
      </c>
      <c r="B32" s="22"/>
      <c r="C32" s="26">
        <f>Hist_Data!C99</f>
        <v>181</v>
      </c>
      <c r="D32" s="26">
        <f>Hist_Data!D99</f>
        <v>219</v>
      </c>
      <c r="E32" s="26">
        <f>Hist_Data!E99</f>
        <v>232</v>
      </c>
      <c r="F32" s="26">
        <f>Hist_Data!F99</f>
        <v>409</v>
      </c>
      <c r="G32" s="26">
        <f>Hist_Data!G99</f>
        <v>407</v>
      </c>
      <c r="H32" s="53">
        <f>G34</f>
        <v>873</v>
      </c>
      <c r="I32" s="53">
        <f>H34</f>
        <v>1033.4912000000004</v>
      </c>
      <c r="J32" s="53">
        <f>I34</f>
        <v>1188.5148800000006</v>
      </c>
      <c r="K32" s="53">
        <f>J34</f>
        <v>1343.0218144</v>
      </c>
      <c r="L32" s="53">
        <f>K34</f>
        <v>1504.1844321279978</v>
      </c>
    </row>
    <row r="33" spans="1:12" x14ac:dyDescent="0.35">
      <c r="A33" s="5" t="s">
        <v>234</v>
      </c>
      <c r="B33" s="22"/>
      <c r="C33" s="53">
        <f>Hist_Data!C100-C32-C31</f>
        <v>1</v>
      </c>
      <c r="D33" s="53">
        <f>Hist_Data!D100-D32-D31</f>
        <v>-3</v>
      </c>
      <c r="E33" s="53">
        <f>Hist_Data!E100-E32-E31</f>
        <v>0</v>
      </c>
      <c r="F33" s="53">
        <f>Hist_Data!F100-F32-F31</f>
        <v>0</v>
      </c>
      <c r="G33" s="53">
        <f>Hist_Data!G100-G32-G31</f>
        <v>-31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</row>
    <row r="34" spans="1:12" x14ac:dyDescent="0.35">
      <c r="A34" s="58" t="s">
        <v>235</v>
      </c>
      <c r="B34" s="59"/>
      <c r="C34" s="60">
        <f t="shared" ref="C34:L34" si="5">C32+C31+C33</f>
        <v>219</v>
      </c>
      <c r="D34" s="60">
        <f t="shared" si="5"/>
        <v>232</v>
      </c>
      <c r="E34" s="60">
        <f t="shared" si="5"/>
        <v>409</v>
      </c>
      <c r="F34" s="60">
        <f t="shared" si="5"/>
        <v>407</v>
      </c>
      <c r="G34" s="60">
        <f t="shared" si="5"/>
        <v>873</v>
      </c>
      <c r="H34" s="60">
        <f t="shared" si="5"/>
        <v>1033.4912000000004</v>
      </c>
      <c r="I34" s="60">
        <f t="shared" si="5"/>
        <v>1188.5148800000006</v>
      </c>
      <c r="J34" s="60">
        <f t="shared" si="5"/>
        <v>1343.0218144</v>
      </c>
      <c r="K34" s="60">
        <f t="shared" si="5"/>
        <v>1504.1844321279978</v>
      </c>
      <c r="L34" s="60">
        <f t="shared" si="5"/>
        <v>1669.6447196620802</v>
      </c>
    </row>
    <row r="35" spans="1:12" x14ac:dyDescent="0.35">
      <c r="A35" s="62" t="s">
        <v>236</v>
      </c>
      <c r="B35" s="22"/>
      <c r="C35" s="63">
        <f>ROUND(C34-BS!C17,2)</f>
        <v>0</v>
      </c>
      <c r="D35" s="63">
        <f>ROUND(D34-BS!D17,2)</f>
        <v>0</v>
      </c>
      <c r="E35" s="63">
        <f>ROUND(E34-BS!E17,2)</f>
        <v>0</v>
      </c>
      <c r="F35" s="63">
        <f>ROUND(F34-BS!F17,2)</f>
        <v>0</v>
      </c>
      <c r="G35" s="63">
        <f>ROUND(G34-BS!G17,2)</f>
        <v>0</v>
      </c>
      <c r="H35" s="63">
        <f>ROUND(H34-BS!H17,2)</f>
        <v>0</v>
      </c>
      <c r="I35" s="63">
        <f>ROUND(I34-BS!I17,2)</f>
        <v>0</v>
      </c>
      <c r="J35" s="63">
        <f>ROUND(J34-BS!J17,2)</f>
        <v>0</v>
      </c>
      <c r="K35" s="63">
        <f>ROUND(K34-BS!K17,2)</f>
        <v>0</v>
      </c>
      <c r="L35" s="63">
        <f>ROUND(L34-BS!L17,2)</f>
        <v>0</v>
      </c>
    </row>
    <row r="37" spans="1:12" x14ac:dyDescent="0.35">
      <c r="A37" s="4" t="s">
        <v>237</v>
      </c>
      <c r="B37" s="22"/>
      <c r="C37" s="50">
        <f t="shared" ref="C37:L37" si="6">C17+C19</f>
        <v>-948</v>
      </c>
      <c r="D37" s="50">
        <f t="shared" si="6"/>
        <v>938</v>
      </c>
      <c r="E37" s="50">
        <f t="shared" si="6"/>
        <v>1004</v>
      </c>
      <c r="F37" s="50">
        <f t="shared" si="6"/>
        <v>-1035</v>
      </c>
      <c r="G37" s="50">
        <f t="shared" si="6"/>
        <v>4688</v>
      </c>
      <c r="H37" s="50">
        <f t="shared" si="6"/>
        <v>3193.7348076295993</v>
      </c>
      <c r="I37" s="50">
        <f t="shared" si="6"/>
        <v>4925.9195739298539</v>
      </c>
      <c r="J37" s="50">
        <f t="shared" si="6"/>
        <v>6152.9195164904359</v>
      </c>
      <c r="K37" s="50">
        <f t="shared" si="6"/>
        <v>7212.7446039871429</v>
      </c>
      <c r="L37" s="50">
        <f t="shared" si="6"/>
        <v>8309.2216642136227</v>
      </c>
    </row>
    <row r="38" spans="1:12" x14ac:dyDescent="0.35">
      <c r="A38" s="62" t="s">
        <v>238</v>
      </c>
      <c r="B38" s="22"/>
      <c r="C38" s="64">
        <f t="shared" ref="C38:L38" si="7">C37-C13</f>
        <v>-2136</v>
      </c>
      <c r="D38" s="64">
        <f t="shared" si="7"/>
        <v>1037</v>
      </c>
      <c r="E38" s="64">
        <f t="shared" si="7"/>
        <v>962</v>
      </c>
      <c r="F38" s="64">
        <f t="shared" si="7"/>
        <v>-3503</v>
      </c>
      <c r="G38" s="64">
        <f t="shared" si="7"/>
        <v>-2616</v>
      </c>
      <c r="H38" s="64">
        <f t="shared" si="7"/>
        <v>755.97439802960344</v>
      </c>
      <c r="I38" s="64">
        <f t="shared" si="7"/>
        <v>2176.2610224164255</v>
      </c>
      <c r="J38" s="64">
        <f t="shared" si="7"/>
        <v>3419.4062777627278</v>
      </c>
      <c r="K38" s="64">
        <f t="shared" si="7"/>
        <v>4367.3781133692792</v>
      </c>
      <c r="L38" s="64">
        <f t="shared" si="7"/>
        <v>5357.2288082631312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L98"/>
  <sheetViews>
    <sheetView workbookViewId="0">
      <pane xSplit="2" ySplit="4" topLeftCell="C84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0" customWidth="1"/>
    <col min="2" max="2" width="11" customWidth="1"/>
    <col min="3" max="12" width="13" customWidth="1"/>
  </cols>
  <sheetData>
    <row r="1" spans="1:12" ht="19.5" x14ac:dyDescent="0.45">
      <c r="A1" s="9" t="s">
        <v>239</v>
      </c>
    </row>
    <row r="2" spans="1:12" x14ac:dyDescent="0.35">
      <c r="A2" s="10" t="s">
        <v>240</v>
      </c>
    </row>
    <row r="4" spans="1:12" x14ac:dyDescent="0.35">
      <c r="A4" s="18" t="s">
        <v>156</v>
      </c>
      <c r="B4" s="19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1" t="s">
        <v>67</v>
      </c>
      <c r="I4" s="21" t="s">
        <v>68</v>
      </c>
      <c r="J4" s="21" t="s">
        <v>69</v>
      </c>
      <c r="K4" s="21" t="s">
        <v>70</v>
      </c>
      <c r="L4" s="21" t="s">
        <v>71</v>
      </c>
    </row>
    <row r="5" spans="1:12" x14ac:dyDescent="0.35">
      <c r="A5" s="29" t="s">
        <v>241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35">
      <c r="A6" s="5" t="s">
        <v>72</v>
      </c>
      <c r="B6" s="22"/>
      <c r="C6" s="26">
        <f>IS!C5</f>
        <v>28799</v>
      </c>
      <c r="D6" s="26">
        <f>IS!D5</f>
        <v>40575</v>
      </c>
      <c r="E6" s="26">
        <f>IS!E5</f>
        <v>51084</v>
      </c>
      <c r="F6" s="26">
        <f>IS!F5</f>
        <v>60456</v>
      </c>
      <c r="G6" s="26">
        <f>IS!G5</f>
        <v>87584</v>
      </c>
      <c r="H6" s="26">
        <f>IS!H5</f>
        <v>103349.12</v>
      </c>
      <c r="I6" s="26">
        <f>IS!I5</f>
        <v>118851.48799999998</v>
      </c>
      <c r="J6" s="26">
        <f>IS!J5</f>
        <v>134302.18143999996</v>
      </c>
      <c r="K6" s="26">
        <f>IS!K5</f>
        <v>150418.44321279996</v>
      </c>
      <c r="L6" s="26">
        <f>IS!L5</f>
        <v>166964.47196620796</v>
      </c>
    </row>
    <row r="7" spans="1:12" x14ac:dyDescent="0.35">
      <c r="A7" s="5" t="s">
        <v>242</v>
      </c>
      <c r="B7" s="22"/>
      <c r="C7" s="26">
        <f>IS!C7</f>
        <v>21641</v>
      </c>
      <c r="D7" s="26">
        <f>IS!D7</f>
        <v>30355</v>
      </c>
      <c r="E7" s="26">
        <f>IS!E7</f>
        <v>39432</v>
      </c>
      <c r="F7" s="26">
        <f>IS!F7</f>
        <v>47456</v>
      </c>
      <c r="G7" s="26">
        <f>IS!G7</f>
        <v>70307</v>
      </c>
      <c r="H7" s="26">
        <f>IS!H7</f>
        <v>82989.343359999984</v>
      </c>
      <c r="I7" s="26">
        <f>IS!I7</f>
        <v>95318.893375999993</v>
      </c>
      <c r="J7" s="26">
        <f>IS!J7</f>
        <v>107576.04733343996</v>
      </c>
      <c r="K7" s="26">
        <f>IS!K7</f>
        <v>120334.75457023998</v>
      </c>
      <c r="L7" s="26">
        <f>IS!L7</f>
        <v>133571.57757296637</v>
      </c>
    </row>
    <row r="8" spans="1:12" x14ac:dyDescent="0.35">
      <c r="A8" s="5" t="s">
        <v>243</v>
      </c>
      <c r="B8" s="22" t="s">
        <v>94</v>
      </c>
      <c r="C8" s="65">
        <f>C11/C7*365</f>
        <v>229.53121389954254</v>
      </c>
      <c r="D8" s="65">
        <f>D11/D7*365</f>
        <v>199.41228792620655</v>
      </c>
      <c r="E8" s="65">
        <f>E11/E7*365</f>
        <v>176.34446642320958</v>
      </c>
      <c r="F8" s="65">
        <f>F11/F7*365</f>
        <v>216.77258934592041</v>
      </c>
      <c r="G8" s="65">
        <f>G11/G7*365</f>
        <v>221.90101981310539</v>
      </c>
      <c r="H8" s="28">
        <f>Inputs!H51</f>
        <v>220</v>
      </c>
      <c r="I8" s="28">
        <f>Inputs!I51</f>
        <v>220</v>
      </c>
      <c r="J8" s="28">
        <f>Inputs!J51</f>
        <v>220</v>
      </c>
      <c r="K8" s="28">
        <f>Inputs!K51</f>
        <v>220</v>
      </c>
      <c r="L8" s="28">
        <f>Inputs!L51</f>
        <v>220</v>
      </c>
    </row>
    <row r="9" spans="1:12" x14ac:dyDescent="0.35">
      <c r="A9" s="5" t="s">
        <v>244</v>
      </c>
      <c r="B9" s="22" t="s">
        <v>94</v>
      </c>
      <c r="C9" s="65">
        <f t="shared" ref="C9:G10" si="0">C12/C6*365</f>
        <v>7.160838918017987</v>
      </c>
      <c r="D9" s="65">
        <f t="shared" si="0"/>
        <v>6.0630930375847196</v>
      </c>
      <c r="E9" s="65">
        <f t="shared" si="0"/>
        <v>7.2737060527758199</v>
      </c>
      <c r="F9" s="65">
        <f t="shared" si="0"/>
        <v>6.4479952362048429</v>
      </c>
      <c r="G9" s="65">
        <f t="shared" si="0"/>
        <v>3.8173639020825725</v>
      </c>
      <c r="H9" s="28">
        <f>Inputs!H73</f>
        <v>4</v>
      </c>
      <c r="I9" s="28">
        <f>Inputs!I73</f>
        <v>4</v>
      </c>
      <c r="J9" s="28">
        <f>Inputs!J73</f>
        <v>4</v>
      </c>
      <c r="K9" s="28">
        <f>Inputs!K73</f>
        <v>4</v>
      </c>
      <c r="L9" s="28">
        <f>Inputs!L73</f>
        <v>4</v>
      </c>
    </row>
    <row r="10" spans="1:12" x14ac:dyDescent="0.35">
      <c r="A10" s="5" t="s">
        <v>245</v>
      </c>
      <c r="B10" s="22" t="s">
        <v>94</v>
      </c>
      <c r="C10" s="65">
        <f t="shared" si="0"/>
        <v>21.824777043574695</v>
      </c>
      <c r="D10" s="65">
        <f t="shared" si="0"/>
        <v>14.597595124361719</v>
      </c>
      <c r="E10" s="65">
        <f t="shared" si="0"/>
        <v>13.051582471089471</v>
      </c>
      <c r="F10" s="65">
        <f t="shared" si="0"/>
        <v>15.098090863115308</v>
      </c>
      <c r="G10" s="65">
        <f t="shared" si="0"/>
        <v>14.868505269745546</v>
      </c>
      <c r="H10" s="28">
        <f>Inputs!H56</f>
        <v>15</v>
      </c>
      <c r="I10" s="28">
        <f>Inputs!I56</f>
        <v>15</v>
      </c>
      <c r="J10" s="28">
        <f>Inputs!J56</f>
        <v>15</v>
      </c>
      <c r="K10" s="28">
        <f>Inputs!K56</f>
        <v>15</v>
      </c>
      <c r="L10" s="28">
        <f>Inputs!L56</f>
        <v>15</v>
      </c>
    </row>
    <row r="11" spans="1:12" x14ac:dyDescent="0.35">
      <c r="A11" s="5" t="s">
        <v>187</v>
      </c>
      <c r="B11" s="22"/>
      <c r="C11" s="26">
        <f>BS!C13</f>
        <v>13609</v>
      </c>
      <c r="D11" s="26">
        <f>BS!D13</f>
        <v>16584</v>
      </c>
      <c r="E11" s="26">
        <f>BS!E13</f>
        <v>19051</v>
      </c>
      <c r="F11" s="26">
        <f>BS!F13</f>
        <v>28184</v>
      </c>
      <c r="G11" s="26">
        <f>BS!G13</f>
        <v>42743</v>
      </c>
      <c r="H11" s="53">
        <f>H7*H8/365</f>
        <v>50020.974079999993</v>
      </c>
      <c r="I11" s="53">
        <f>I7*I8/365</f>
        <v>57452.483678684926</v>
      </c>
      <c r="J11" s="53">
        <f>J7*J8/365</f>
        <v>64840.357296867922</v>
      </c>
      <c r="K11" s="53">
        <f>K7*K8/365</f>
        <v>72530.537001240533</v>
      </c>
      <c r="L11" s="53">
        <f>L7*L8/365</f>
        <v>80508.896071376992</v>
      </c>
    </row>
    <row r="12" spans="1:12" x14ac:dyDescent="0.35">
      <c r="A12" s="5" t="s">
        <v>188</v>
      </c>
      <c r="B12" s="22"/>
      <c r="C12" s="26">
        <f>BS!C14</f>
        <v>565</v>
      </c>
      <c r="D12" s="26">
        <f>BS!D14</f>
        <v>674</v>
      </c>
      <c r="E12" s="26">
        <f>BS!E14</f>
        <v>1018</v>
      </c>
      <c r="F12" s="26">
        <f>BS!F14</f>
        <v>1068</v>
      </c>
      <c r="G12" s="26">
        <f>BS!G14</f>
        <v>916</v>
      </c>
      <c r="H12" s="53">
        <f t="shared" ref="H12:L13" si="1">H6*H9/365</f>
        <v>1132.593095890411</v>
      </c>
      <c r="I12" s="53">
        <f t="shared" si="1"/>
        <v>1302.4820602739724</v>
      </c>
      <c r="J12" s="53">
        <f t="shared" si="1"/>
        <v>1471.8047281095885</v>
      </c>
      <c r="K12" s="53">
        <f t="shared" si="1"/>
        <v>1648.4212954827392</v>
      </c>
      <c r="L12" s="53">
        <f t="shared" si="1"/>
        <v>1829.7476379858406</v>
      </c>
    </row>
    <row r="13" spans="1:12" x14ac:dyDescent="0.35">
      <c r="A13" s="5" t="s">
        <v>201</v>
      </c>
      <c r="B13" s="22"/>
      <c r="C13" s="26">
        <f>BS!C28</f>
        <v>1294</v>
      </c>
      <c r="D13" s="26">
        <f>BS!D28</f>
        <v>1214</v>
      </c>
      <c r="E13" s="26">
        <f>BS!E28</f>
        <v>1410</v>
      </c>
      <c r="F13" s="26">
        <f>BS!F28</f>
        <v>1963</v>
      </c>
      <c r="G13" s="26">
        <f>BS!G28</f>
        <v>2864</v>
      </c>
      <c r="H13" s="53">
        <f t="shared" si="1"/>
        <v>3410.5209599999994</v>
      </c>
      <c r="I13" s="53">
        <f t="shared" si="1"/>
        <v>3917.2147962739723</v>
      </c>
      <c r="J13" s="53">
        <f t="shared" si="1"/>
        <v>4420.9334520591765</v>
      </c>
      <c r="K13" s="53">
        <f t="shared" si="1"/>
        <v>4945.2638864482187</v>
      </c>
      <c r="L13" s="53">
        <f t="shared" si="1"/>
        <v>5489.2429139575215</v>
      </c>
    </row>
    <row r="14" spans="1:12" x14ac:dyDescent="0.35">
      <c r="A14" s="51" t="s">
        <v>246</v>
      </c>
      <c r="B14" s="22" t="s">
        <v>75</v>
      </c>
      <c r="C14" s="57">
        <f>BS!C15/C6</f>
        <v>5.8752040001388936E-2</v>
      </c>
      <c r="D14" s="57">
        <f>BS!D15/D6</f>
        <v>4.046826863832409E-2</v>
      </c>
      <c r="E14" s="57">
        <f>BS!E15/E6</f>
        <v>4.5943935478819198E-2</v>
      </c>
      <c r="F14" s="57">
        <f>BS!F15/F6</f>
        <v>3.7399100172025933E-2</v>
      </c>
      <c r="G14" s="57">
        <f>BS!G15/G6</f>
        <v>3.3750456704420902E-2</v>
      </c>
      <c r="H14" s="43">
        <f>Inputs!H74</f>
        <v>3.4000000000000002E-2</v>
      </c>
      <c r="I14" s="43">
        <f>Inputs!I74</f>
        <v>3.4000000000000002E-2</v>
      </c>
      <c r="J14" s="43">
        <f>Inputs!J74</f>
        <v>3.4000000000000002E-2</v>
      </c>
      <c r="K14" s="43">
        <f>Inputs!K74</f>
        <v>3.4000000000000002E-2</v>
      </c>
      <c r="L14" s="43">
        <f>Inputs!L74</f>
        <v>3.4000000000000002E-2</v>
      </c>
    </row>
    <row r="15" spans="1:12" x14ac:dyDescent="0.35">
      <c r="A15" s="5" t="s">
        <v>189</v>
      </c>
      <c r="B15" s="22"/>
      <c r="C15" s="26">
        <f>BS!C15</f>
        <v>1692</v>
      </c>
      <c r="D15" s="26">
        <f>BS!D15</f>
        <v>1642</v>
      </c>
      <c r="E15" s="26">
        <f>BS!E15</f>
        <v>2347</v>
      </c>
      <c r="F15" s="26">
        <f>BS!F15</f>
        <v>2261</v>
      </c>
      <c r="G15" s="26">
        <f>BS!G15</f>
        <v>2956</v>
      </c>
      <c r="H15" s="53">
        <f>H6*H14</f>
        <v>3513.8700800000001</v>
      </c>
      <c r="I15" s="53">
        <f>I6*I14</f>
        <v>4040.9505919999997</v>
      </c>
      <c r="J15" s="53">
        <f>J6*J14</f>
        <v>4566.2741689599989</v>
      </c>
      <c r="K15" s="53">
        <f>K6*K14</f>
        <v>5114.2270692351995</v>
      </c>
      <c r="L15" s="53">
        <f>L6*L14</f>
        <v>5676.7920468510711</v>
      </c>
    </row>
    <row r="16" spans="1:12" x14ac:dyDescent="0.35">
      <c r="A16" s="51" t="s">
        <v>247</v>
      </c>
      <c r="B16" s="22" t="s">
        <v>75</v>
      </c>
      <c r="C16" s="57">
        <f>BS!C30/C6</f>
        <v>8.7607208583631371E-2</v>
      </c>
      <c r="D16" s="57">
        <f>BS!D30/D6</f>
        <v>8.6678989525569933E-2</v>
      </c>
      <c r="E16" s="57">
        <f>BS!E30/E6</f>
        <v>8.0103359173126609E-2</v>
      </c>
      <c r="F16" s="57">
        <f>BS!F30/F6</f>
        <v>7.3458382956199553E-2</v>
      </c>
      <c r="G16" s="57">
        <f>BS!G30/G6</f>
        <v>7.1165966386554619E-2</v>
      </c>
      <c r="H16" s="43">
        <f>Inputs!H75</f>
        <v>7.0999999999999994E-2</v>
      </c>
      <c r="I16" s="43">
        <f>Inputs!I75</f>
        <v>7.0999999999999994E-2</v>
      </c>
      <c r="J16" s="43">
        <f>Inputs!J75</f>
        <v>7.0999999999999994E-2</v>
      </c>
      <c r="K16" s="43">
        <f>Inputs!K75</f>
        <v>7.0999999999999994E-2</v>
      </c>
      <c r="L16" s="43">
        <f>Inputs!L75</f>
        <v>7.0999999999999994E-2</v>
      </c>
    </row>
    <row r="17" spans="1:12" x14ac:dyDescent="0.35">
      <c r="A17" s="5" t="s">
        <v>203</v>
      </c>
      <c r="B17" s="22"/>
      <c r="C17" s="26">
        <f>BS!C30</f>
        <v>2523</v>
      </c>
      <c r="D17" s="26">
        <f>BS!D30</f>
        <v>3517</v>
      </c>
      <c r="E17" s="26">
        <f>BS!E30</f>
        <v>4092</v>
      </c>
      <c r="F17" s="26">
        <f>BS!F30</f>
        <v>4441</v>
      </c>
      <c r="G17" s="26">
        <f>BS!G30</f>
        <v>6233</v>
      </c>
      <c r="H17" s="53">
        <f>H6*H16</f>
        <v>7337.7875199999989</v>
      </c>
      <c r="I17" s="53">
        <f>I6*I16</f>
        <v>8438.4556479999974</v>
      </c>
      <c r="J17" s="53">
        <f>J6*J16</f>
        <v>9535.4548822399956</v>
      </c>
      <c r="K17" s="53">
        <f>K6*K16</f>
        <v>10679.709468108797</v>
      </c>
      <c r="L17" s="53">
        <f>L6*L16</f>
        <v>11854.477509600763</v>
      </c>
    </row>
    <row r="18" spans="1:12" x14ac:dyDescent="0.35">
      <c r="A18" s="51" t="s">
        <v>248</v>
      </c>
      <c r="B18" s="22" t="s">
        <v>75</v>
      </c>
      <c r="C18" s="57">
        <f>BS!C29/C6</f>
        <v>1.5417201986180075E-2</v>
      </c>
      <c r="D18" s="57">
        <f>BS!D29/D6</f>
        <v>1.4097350585335799E-2</v>
      </c>
      <c r="E18" s="57">
        <f>BS!E29/E6</f>
        <v>1.327225745830397E-2</v>
      </c>
      <c r="F18" s="57">
        <f>BS!F29/F6</f>
        <v>2.2098716421860527E-2</v>
      </c>
      <c r="G18" s="57">
        <f>BS!G29/G6</f>
        <v>5.0305991962002194E-2</v>
      </c>
      <c r="H18" s="43">
        <f>Inputs!H76</f>
        <v>4.5999999999999999E-2</v>
      </c>
      <c r="I18" s="43">
        <f>Inputs!I76</f>
        <v>4.5999999999999999E-2</v>
      </c>
      <c r="J18" s="43">
        <f>Inputs!J76</f>
        <v>4.5999999999999999E-2</v>
      </c>
      <c r="K18" s="43">
        <f>Inputs!K76</f>
        <v>4.5999999999999999E-2</v>
      </c>
      <c r="L18" s="43">
        <f>Inputs!L76</f>
        <v>4.5999999999999999E-2</v>
      </c>
    </row>
    <row r="19" spans="1:12" x14ac:dyDescent="0.35">
      <c r="A19" s="5" t="s">
        <v>202</v>
      </c>
      <c r="B19" s="22"/>
      <c r="C19" s="26">
        <f>BS!C29</f>
        <v>444</v>
      </c>
      <c r="D19" s="26">
        <f>BS!D29</f>
        <v>572</v>
      </c>
      <c r="E19" s="26">
        <f>BS!E29</f>
        <v>678</v>
      </c>
      <c r="F19" s="26">
        <f>BS!F29</f>
        <v>1336</v>
      </c>
      <c r="G19" s="26">
        <f>BS!G29</f>
        <v>4406</v>
      </c>
      <c r="H19" s="53">
        <f>H6*H18</f>
        <v>4754.0595199999998</v>
      </c>
      <c r="I19" s="53">
        <f>I6*I18</f>
        <v>5467.1684479999994</v>
      </c>
      <c r="J19" s="53">
        <f>J6*J18</f>
        <v>6177.9003462399978</v>
      </c>
      <c r="K19" s="53">
        <f>K6*K18</f>
        <v>6919.248387788798</v>
      </c>
      <c r="L19" s="53">
        <f>L6*L18</f>
        <v>7680.365710445566</v>
      </c>
    </row>
    <row r="20" spans="1:12" x14ac:dyDescent="0.35">
      <c r="A20" s="51" t="s">
        <v>249</v>
      </c>
      <c r="B20" s="22" t="s">
        <v>75</v>
      </c>
      <c r="C20" s="57">
        <f>BS!C31/C6</f>
        <v>8.194728983645266E-3</v>
      </c>
      <c r="D20" s="57">
        <f>BS!D31/D6</f>
        <v>9.1682070240295746E-3</v>
      </c>
      <c r="E20" s="57">
        <f>BS!E31/E6</f>
        <v>7.3212747631352286E-3</v>
      </c>
      <c r="F20" s="57">
        <f>BS!F31/F6</f>
        <v>7.5095937541352388E-3</v>
      </c>
      <c r="G20" s="57">
        <f>BS!G31/G6</f>
        <v>8.0151625867738406E-3</v>
      </c>
      <c r="H20" s="43">
        <f>Inputs!H77</f>
        <v>8.0000000000000002E-3</v>
      </c>
      <c r="I20" s="43">
        <f>Inputs!I77</f>
        <v>8.0000000000000002E-3</v>
      </c>
      <c r="J20" s="43">
        <f>Inputs!J77</f>
        <v>8.0000000000000002E-3</v>
      </c>
      <c r="K20" s="43">
        <f>Inputs!K77</f>
        <v>8.0000000000000002E-3</v>
      </c>
      <c r="L20" s="43">
        <f>Inputs!L77</f>
        <v>8.0000000000000002E-3</v>
      </c>
    </row>
    <row r="21" spans="1:12" x14ac:dyDescent="0.35">
      <c r="A21" s="5" t="s">
        <v>250</v>
      </c>
      <c r="B21" s="22"/>
      <c r="C21" s="26">
        <f>BS!C31</f>
        <v>236</v>
      </c>
      <c r="D21" s="26">
        <f>BS!D31</f>
        <v>372</v>
      </c>
      <c r="E21" s="26">
        <f>BS!E31</f>
        <v>374</v>
      </c>
      <c r="F21" s="26">
        <f>BS!F31</f>
        <v>454</v>
      </c>
      <c r="G21" s="26">
        <f>BS!G31</f>
        <v>702</v>
      </c>
      <c r="H21" s="53">
        <f>H6*H20</f>
        <v>826.79295999999999</v>
      </c>
      <c r="I21" s="53">
        <f>I6*I20</f>
        <v>950.81190399999991</v>
      </c>
      <c r="J21" s="53">
        <f>J6*J20</f>
        <v>1074.4174515199998</v>
      </c>
      <c r="K21" s="53">
        <f>K6*K20</f>
        <v>1203.3475457023997</v>
      </c>
      <c r="L21" s="53">
        <f>L6*L20</f>
        <v>1335.7157757296636</v>
      </c>
    </row>
    <row r="22" spans="1:12" x14ac:dyDescent="0.35">
      <c r="A22" s="51" t="s">
        <v>251</v>
      </c>
      <c r="B22" s="22" t="s">
        <v>75</v>
      </c>
      <c r="C22" s="52">
        <f>BS!C26/C11</f>
        <v>0.39664927621426999</v>
      </c>
      <c r="D22" s="52">
        <f>BS!D26/D11</f>
        <v>0.319524843222383</v>
      </c>
      <c r="E22" s="52">
        <f>BS!E26/E11</f>
        <v>0.28035273738911343</v>
      </c>
      <c r="F22" s="52">
        <f>BS!F26/F11</f>
        <v>0.27710757876809539</v>
      </c>
      <c r="G22" s="52">
        <f>BS!G26/G11</f>
        <v>0.37596799475937581</v>
      </c>
      <c r="H22" s="40">
        <f>Inputs!H61</f>
        <v>0.37</v>
      </c>
      <c r="I22" s="40">
        <f>Inputs!I61</f>
        <v>0.37</v>
      </c>
      <c r="J22" s="40">
        <f>Inputs!J61</f>
        <v>0.37</v>
      </c>
      <c r="K22" s="40">
        <f>Inputs!K61</f>
        <v>0.37</v>
      </c>
      <c r="L22" s="40">
        <f>Inputs!L61</f>
        <v>0.37</v>
      </c>
    </row>
    <row r="23" spans="1:12" x14ac:dyDescent="0.35">
      <c r="A23" s="4" t="s">
        <v>199</v>
      </c>
      <c r="B23" s="22"/>
      <c r="C23" s="23">
        <f>BS!C26</f>
        <v>5398</v>
      </c>
      <c r="D23" s="23">
        <f>BS!D26</f>
        <v>5299</v>
      </c>
      <c r="E23" s="23">
        <f>BS!E26</f>
        <v>5341</v>
      </c>
      <c r="F23" s="23">
        <f>BS!F26</f>
        <v>7810</v>
      </c>
      <c r="G23" s="23">
        <f>BS!G26</f>
        <v>16070</v>
      </c>
      <c r="H23" s="50">
        <f>H11*H22</f>
        <v>18507.760409599996</v>
      </c>
      <c r="I23" s="50">
        <f>I11*I22</f>
        <v>21257.418961113424</v>
      </c>
      <c r="J23" s="50">
        <f>J11*J22</f>
        <v>23990.932199841132</v>
      </c>
      <c r="K23" s="50">
        <f>K11*K22</f>
        <v>26836.298690458996</v>
      </c>
      <c r="L23" s="50">
        <f>L11*L22</f>
        <v>29788.291546409488</v>
      </c>
    </row>
    <row r="24" spans="1:12" x14ac:dyDescent="0.35">
      <c r="A24" s="54" t="s">
        <v>252</v>
      </c>
      <c r="B24" s="55"/>
      <c r="C24" s="56">
        <f t="shared" ref="C24:L24" si="2">C11+C12+C15-C13-C17-C19-C21</f>
        <v>11369</v>
      </c>
      <c r="D24" s="56">
        <f t="shared" si="2"/>
        <v>13225</v>
      </c>
      <c r="E24" s="56">
        <f t="shared" si="2"/>
        <v>15862</v>
      </c>
      <c r="F24" s="56">
        <f t="shared" si="2"/>
        <v>23319</v>
      </c>
      <c r="G24" s="56">
        <f t="shared" si="2"/>
        <v>32410</v>
      </c>
      <c r="H24" s="56">
        <f t="shared" si="2"/>
        <v>38338.276295890406</v>
      </c>
      <c r="I24" s="56">
        <f t="shared" si="2"/>
        <v>44022.265534684935</v>
      </c>
      <c r="J24" s="56">
        <f t="shared" si="2"/>
        <v>49669.730061878334</v>
      </c>
      <c r="K24" s="56">
        <f t="shared" si="2"/>
        <v>55545.616077910265</v>
      </c>
      <c r="L24" s="56">
        <f t="shared" si="2"/>
        <v>61655.633846480385</v>
      </c>
    </row>
    <row r="25" spans="1:12" x14ac:dyDescent="0.35">
      <c r="A25" s="4" t="s">
        <v>253</v>
      </c>
      <c r="B25" s="22"/>
      <c r="C25" s="50">
        <f t="shared" ref="C25:L25" si="3">C24-C23</f>
        <v>5971</v>
      </c>
      <c r="D25" s="50">
        <f t="shared" si="3"/>
        <v>7926</v>
      </c>
      <c r="E25" s="50">
        <f t="shared" si="3"/>
        <v>10521</v>
      </c>
      <c r="F25" s="50">
        <f t="shared" si="3"/>
        <v>15509</v>
      </c>
      <c r="G25" s="50">
        <f t="shared" si="3"/>
        <v>16340</v>
      </c>
      <c r="H25" s="50">
        <f t="shared" si="3"/>
        <v>19830.51588629041</v>
      </c>
      <c r="I25" s="50">
        <f t="shared" si="3"/>
        <v>22764.846573571511</v>
      </c>
      <c r="J25" s="50">
        <f t="shared" si="3"/>
        <v>25678.797862037201</v>
      </c>
      <c r="K25" s="50">
        <f t="shared" si="3"/>
        <v>28709.317387451269</v>
      </c>
      <c r="L25" s="50">
        <f t="shared" si="3"/>
        <v>31867.342300070897</v>
      </c>
    </row>
    <row r="26" spans="1:12" x14ac:dyDescent="0.35">
      <c r="A26" s="62" t="s">
        <v>254</v>
      </c>
      <c r="B26" s="22"/>
      <c r="D26" s="64">
        <f t="shared" ref="D26:L26" si="4">D24-C24</f>
        <v>1856</v>
      </c>
      <c r="E26" s="64">
        <f t="shared" si="4"/>
        <v>2637</v>
      </c>
      <c r="F26" s="64">
        <f t="shared" si="4"/>
        <v>7457</v>
      </c>
      <c r="G26" s="64">
        <f t="shared" si="4"/>
        <v>9091</v>
      </c>
      <c r="H26" s="64">
        <f t="shared" si="4"/>
        <v>5928.2762958904059</v>
      </c>
      <c r="I26" s="64">
        <f t="shared" si="4"/>
        <v>5683.9892387945292</v>
      </c>
      <c r="J26" s="64">
        <f t="shared" si="4"/>
        <v>5647.4645271933987</v>
      </c>
      <c r="K26" s="64">
        <f t="shared" si="4"/>
        <v>5875.8860160319309</v>
      </c>
      <c r="L26" s="64">
        <f t="shared" si="4"/>
        <v>6110.0177685701201</v>
      </c>
    </row>
    <row r="27" spans="1:12" x14ac:dyDescent="0.35">
      <c r="A27" s="62" t="s">
        <v>255</v>
      </c>
      <c r="B27" s="22"/>
      <c r="D27" s="64">
        <f t="shared" ref="D27:L27" si="5">D25-C25</f>
        <v>1955</v>
      </c>
      <c r="E27" s="64">
        <f t="shared" si="5"/>
        <v>2595</v>
      </c>
      <c r="F27" s="64">
        <f t="shared" si="5"/>
        <v>4988</v>
      </c>
      <c r="G27" s="64">
        <f t="shared" si="5"/>
        <v>831</v>
      </c>
      <c r="H27" s="64">
        <f t="shared" si="5"/>
        <v>3490.51588629041</v>
      </c>
      <c r="I27" s="64">
        <f t="shared" si="5"/>
        <v>2934.3306872811008</v>
      </c>
      <c r="J27" s="64">
        <f t="shared" si="5"/>
        <v>2913.9512884656906</v>
      </c>
      <c r="K27" s="64">
        <f t="shared" si="5"/>
        <v>3030.5195254140672</v>
      </c>
      <c r="L27" s="64">
        <f t="shared" si="5"/>
        <v>3158.0249126196286</v>
      </c>
    </row>
    <row r="29" spans="1:12" x14ac:dyDescent="0.35">
      <c r="A29" s="29" t="s">
        <v>256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 x14ac:dyDescent="0.35">
      <c r="A30" s="51" t="s">
        <v>257</v>
      </c>
      <c r="B30" s="22" t="s">
        <v>75</v>
      </c>
      <c r="C30" s="57">
        <f>C32/C6</f>
        <v>7.7780478488836419E-3</v>
      </c>
      <c r="D30" s="57">
        <f>D32/D6</f>
        <v>1.0646950092421443E-2</v>
      </c>
      <c r="E30" s="57">
        <f>E32/E6</f>
        <v>1.3526740270926317E-2</v>
      </c>
      <c r="F30" s="57">
        <f>F32/F6</f>
        <v>8.1712319703586087E-3</v>
      </c>
      <c r="G30" s="57">
        <f>G32/G6</f>
        <v>1.0298684691267811E-2</v>
      </c>
      <c r="H30" s="43">
        <f>Inputs!H46</f>
        <v>1.2E-2</v>
      </c>
      <c r="I30" s="43">
        <f>Inputs!I46</f>
        <v>1.2E-2</v>
      </c>
      <c r="J30" s="43">
        <f>Inputs!J46</f>
        <v>1.2E-2</v>
      </c>
      <c r="K30" s="43">
        <f>Inputs!K46</f>
        <v>1.2E-2</v>
      </c>
      <c r="L30" s="43">
        <f>Inputs!L46</f>
        <v>1.2E-2</v>
      </c>
    </row>
    <row r="31" spans="1:12" x14ac:dyDescent="0.35">
      <c r="A31" s="51" t="s">
        <v>258</v>
      </c>
      <c r="B31" s="22" t="s">
        <v>75</v>
      </c>
      <c r="H31" s="40">
        <f>Inputs!H85</f>
        <v>0.15</v>
      </c>
      <c r="I31" s="40">
        <f>Inputs!I85</f>
        <v>0.15</v>
      </c>
      <c r="J31" s="40">
        <f>Inputs!J85</f>
        <v>0.15</v>
      </c>
      <c r="K31" s="40">
        <f>Inputs!K85</f>
        <v>0.15</v>
      </c>
      <c r="L31" s="40">
        <f>Inputs!L85</f>
        <v>0.15</v>
      </c>
    </row>
    <row r="32" spans="1:12" x14ac:dyDescent="0.35">
      <c r="A32" s="4" t="s">
        <v>259</v>
      </c>
      <c r="B32" s="22"/>
      <c r="C32" s="23">
        <f>-CF!C19</f>
        <v>224</v>
      </c>
      <c r="D32" s="23">
        <f>-CF!D19</f>
        <v>432</v>
      </c>
      <c r="E32" s="23">
        <f>-CF!E19</f>
        <v>691</v>
      </c>
      <c r="F32" s="23">
        <f>-CF!F19</f>
        <v>494</v>
      </c>
      <c r="G32" s="23">
        <f>-CF!G19</f>
        <v>902</v>
      </c>
      <c r="H32" s="50">
        <f>H6*H30</f>
        <v>1240.1894399999999</v>
      </c>
      <c r="I32" s="50">
        <f>I6*I30</f>
        <v>1426.2178559999998</v>
      </c>
      <c r="J32" s="50">
        <f>J6*J30</f>
        <v>1611.6261772799994</v>
      </c>
      <c r="K32" s="50">
        <f>K6*K30</f>
        <v>1805.0213185535995</v>
      </c>
      <c r="L32" s="50">
        <f>L6*L30</f>
        <v>2003.5736635944957</v>
      </c>
    </row>
    <row r="33" spans="1:12" x14ac:dyDescent="0.35">
      <c r="A33" s="5" t="s">
        <v>260</v>
      </c>
      <c r="B33" s="22"/>
      <c r="H33" s="53">
        <f>H32*H31</f>
        <v>186.02841599999996</v>
      </c>
      <c r="I33" s="53">
        <f>I32*I31</f>
        <v>213.93267839999996</v>
      </c>
      <c r="J33" s="53">
        <f>J32*J31</f>
        <v>241.74392659199989</v>
      </c>
      <c r="K33" s="53">
        <f>K32*K31</f>
        <v>270.75319778303992</v>
      </c>
      <c r="L33" s="53">
        <f>L32*L31</f>
        <v>300.53604953917431</v>
      </c>
    </row>
    <row r="34" spans="1:12" x14ac:dyDescent="0.35">
      <c r="A34" s="5" t="s">
        <v>261</v>
      </c>
      <c r="B34" s="22"/>
      <c r="H34" s="53">
        <f>H32-H33</f>
        <v>1054.161024</v>
      </c>
      <c r="I34" s="53">
        <f>I32-I33</f>
        <v>1212.2851775999998</v>
      </c>
      <c r="J34" s="53">
        <f>J32-J33</f>
        <v>1369.8822506879994</v>
      </c>
      <c r="K34" s="53">
        <f>K32-K33</f>
        <v>1534.2681207705596</v>
      </c>
      <c r="L34" s="53">
        <f>L32-L33</f>
        <v>1703.0376140553212</v>
      </c>
    </row>
    <row r="35" spans="1:12" x14ac:dyDescent="0.35">
      <c r="A35" s="51" t="s">
        <v>262</v>
      </c>
      <c r="B35" s="22" t="s">
        <v>75</v>
      </c>
      <c r="F35" s="52">
        <f>Hist_Data!F113/BS!E6</f>
        <v>0.14895947426067907</v>
      </c>
      <c r="G35" s="52">
        <f>Hist_Data!G113/BS!F6</f>
        <v>0.16940451745379878</v>
      </c>
      <c r="H35" s="40">
        <f>Inputs!H82</f>
        <v>0.16</v>
      </c>
      <c r="I35" s="40">
        <f>Inputs!I82</f>
        <v>0.16</v>
      </c>
      <c r="J35" s="40">
        <f>Inputs!J82</f>
        <v>0.16</v>
      </c>
      <c r="K35" s="40">
        <f>Inputs!K82</f>
        <v>0.16</v>
      </c>
      <c r="L35" s="40">
        <f>Inputs!L82</f>
        <v>0.16</v>
      </c>
    </row>
    <row r="36" spans="1:12" x14ac:dyDescent="0.35">
      <c r="A36" s="5" t="s">
        <v>263</v>
      </c>
      <c r="B36" s="22"/>
      <c r="H36" s="53">
        <f>G39</f>
        <v>2955</v>
      </c>
      <c r="I36" s="53">
        <f>H39</f>
        <v>3536.3610239999998</v>
      </c>
      <c r="J36" s="53">
        <f>I39</f>
        <v>4182.8284377599994</v>
      </c>
      <c r="K36" s="53">
        <f>J39</f>
        <v>4883.4581384063995</v>
      </c>
      <c r="L36" s="53">
        <f>K39</f>
        <v>5636.3729570319356</v>
      </c>
    </row>
    <row r="37" spans="1:12" x14ac:dyDescent="0.35">
      <c r="A37" s="5" t="s">
        <v>264</v>
      </c>
      <c r="B37" s="22"/>
      <c r="H37" s="53">
        <f>H34</f>
        <v>1054.161024</v>
      </c>
      <c r="I37" s="53">
        <f>I34</f>
        <v>1212.2851775999998</v>
      </c>
      <c r="J37" s="53">
        <f>J34</f>
        <v>1369.8822506879994</v>
      </c>
      <c r="K37" s="53">
        <f>K34</f>
        <v>1534.2681207705596</v>
      </c>
      <c r="L37" s="53">
        <f>L34</f>
        <v>1703.0376140553212</v>
      </c>
    </row>
    <row r="38" spans="1:12" x14ac:dyDescent="0.35">
      <c r="A38" s="5" t="s">
        <v>265</v>
      </c>
      <c r="B38" s="22"/>
      <c r="F38" s="26">
        <f>Hist_Data!F113</f>
        <v>272</v>
      </c>
      <c r="G38" s="26">
        <f>Hist_Data!G113</f>
        <v>330</v>
      </c>
      <c r="H38" s="53">
        <f>H36*H35</f>
        <v>472.8</v>
      </c>
      <c r="I38" s="53">
        <f>I36*I35</f>
        <v>565.81776384</v>
      </c>
      <c r="J38" s="53">
        <f>J36*J35</f>
        <v>669.25255004159987</v>
      </c>
      <c r="K38" s="53">
        <f>K36*K35</f>
        <v>781.35330214502392</v>
      </c>
      <c r="L38" s="53">
        <f>L36*L35</f>
        <v>901.81967312510972</v>
      </c>
    </row>
    <row r="39" spans="1:12" x14ac:dyDescent="0.35">
      <c r="A39" s="54" t="s">
        <v>266</v>
      </c>
      <c r="B39" s="55"/>
      <c r="C39" s="66">
        <f>BS!C6</f>
        <v>1288</v>
      </c>
      <c r="D39" s="66">
        <f>BS!D6</f>
        <v>1477</v>
      </c>
      <c r="E39" s="66">
        <f>BS!E6</f>
        <v>1826</v>
      </c>
      <c r="F39" s="66">
        <f>BS!F6</f>
        <v>1948</v>
      </c>
      <c r="G39" s="66">
        <f>BS!G6</f>
        <v>2955</v>
      </c>
      <c r="H39" s="56">
        <f>H36+H37-H38</f>
        <v>3536.3610239999998</v>
      </c>
      <c r="I39" s="56">
        <f>I36+I37-I38</f>
        <v>4182.8284377599994</v>
      </c>
      <c r="J39" s="56">
        <f>J36+J37-J38</f>
        <v>4883.4581384063995</v>
      </c>
      <c r="K39" s="56">
        <f>K36+K37-K38</f>
        <v>5636.3729570319356</v>
      </c>
      <c r="L39" s="56">
        <f>L36+L37-L38</f>
        <v>6437.5908979621472</v>
      </c>
    </row>
    <row r="40" spans="1:12" x14ac:dyDescent="0.35">
      <c r="A40" s="51" t="s">
        <v>267</v>
      </c>
      <c r="B40" s="22" t="s">
        <v>75</v>
      </c>
      <c r="F40" s="57">
        <f>(F70-E70+F69-F68)/F6</f>
        <v>1.3398173878523224E-2</v>
      </c>
      <c r="G40" s="57">
        <f>(G70-F70+G69-G68)/G6</f>
        <v>1.2673547679941543E-2</v>
      </c>
      <c r="H40" s="43">
        <f>Inputs!H86</f>
        <v>0.01</v>
      </c>
      <c r="I40" s="43">
        <f>Inputs!I86</f>
        <v>0.01</v>
      </c>
      <c r="J40" s="43">
        <f>Inputs!J86</f>
        <v>0.01</v>
      </c>
      <c r="K40" s="43">
        <f>Inputs!K86</f>
        <v>0.01</v>
      </c>
      <c r="L40" s="43">
        <f>Inputs!L86</f>
        <v>0.01</v>
      </c>
    </row>
    <row r="41" spans="1:12" x14ac:dyDescent="0.35">
      <c r="A41" s="51" t="s">
        <v>268</v>
      </c>
      <c r="B41" s="22" t="s">
        <v>75</v>
      </c>
      <c r="F41" s="52">
        <f>Hist_Data!F114/BS!E7</f>
        <v>0.23331173039533376</v>
      </c>
      <c r="G41" s="52">
        <f>Hist_Data!G114/BS!F7</f>
        <v>0.2406989853438557</v>
      </c>
      <c r="H41" s="40">
        <f>Inputs!H83</f>
        <v>0.24</v>
      </c>
      <c r="I41" s="40">
        <f>Inputs!I83</f>
        <v>0.24</v>
      </c>
      <c r="J41" s="40">
        <f>Inputs!J83</f>
        <v>0.24</v>
      </c>
      <c r="K41" s="40">
        <f>Inputs!K83</f>
        <v>0.24</v>
      </c>
      <c r="L41" s="40">
        <f>Inputs!L83</f>
        <v>0.24</v>
      </c>
    </row>
    <row r="42" spans="1:12" x14ac:dyDescent="0.35">
      <c r="A42" s="5" t="s">
        <v>269</v>
      </c>
      <c r="B42" s="22"/>
      <c r="H42" s="53">
        <f>G45</f>
        <v>2195</v>
      </c>
      <c r="I42" s="53">
        <f>H45</f>
        <v>2701.6912000000002</v>
      </c>
      <c r="J42" s="53">
        <f>I45</f>
        <v>3241.8001919999997</v>
      </c>
      <c r="K42" s="53">
        <f>J45</f>
        <v>3806.7899603199999</v>
      </c>
      <c r="L42" s="53">
        <f>K45</f>
        <v>4397.3448019711986</v>
      </c>
    </row>
    <row r="43" spans="1:12" x14ac:dyDescent="0.35">
      <c r="A43" s="5" t="s">
        <v>270</v>
      </c>
      <c r="B43" s="22"/>
      <c r="H43" s="53">
        <f>H67</f>
        <v>1033.4911999999999</v>
      </c>
      <c r="I43" s="53">
        <f>I67</f>
        <v>1188.5148799999999</v>
      </c>
      <c r="J43" s="53">
        <f>J67</f>
        <v>1343.0218143999996</v>
      </c>
      <c r="K43" s="53">
        <f>K67</f>
        <v>1504.1844321279996</v>
      </c>
      <c r="L43" s="53">
        <f>L67</f>
        <v>1669.6447196620795</v>
      </c>
    </row>
    <row r="44" spans="1:12" x14ac:dyDescent="0.35">
      <c r="A44" s="5" t="s">
        <v>271</v>
      </c>
      <c r="B44" s="22"/>
      <c r="F44" s="26">
        <f>Hist_Data!F114</f>
        <v>360</v>
      </c>
      <c r="G44" s="26">
        <f>Hist_Data!G114</f>
        <v>427</v>
      </c>
      <c r="H44" s="53">
        <f>H42*H41</f>
        <v>526.79999999999995</v>
      </c>
      <c r="I44" s="53">
        <f>I42*I41</f>
        <v>648.405888</v>
      </c>
      <c r="J44" s="53">
        <f>J42*J41</f>
        <v>778.03204607999987</v>
      </c>
      <c r="K44" s="53">
        <f>K42*K41</f>
        <v>913.62959047679999</v>
      </c>
      <c r="L44" s="53">
        <f>L42*L41</f>
        <v>1055.3627524730875</v>
      </c>
    </row>
    <row r="45" spans="1:12" x14ac:dyDescent="0.35">
      <c r="A45" s="54" t="s">
        <v>272</v>
      </c>
      <c r="B45" s="55"/>
      <c r="C45" s="66">
        <f>BS!C7</f>
        <v>973</v>
      </c>
      <c r="D45" s="66">
        <f>BS!D7</f>
        <v>1285</v>
      </c>
      <c r="E45" s="66">
        <f>BS!E7</f>
        <v>1543</v>
      </c>
      <c r="F45" s="66">
        <f>BS!F7</f>
        <v>1774</v>
      </c>
      <c r="G45" s="66">
        <f>BS!G7</f>
        <v>2195</v>
      </c>
      <c r="H45" s="56">
        <f>H42+H43-H44</f>
        <v>2701.6912000000002</v>
      </c>
      <c r="I45" s="56">
        <f>I42+I43-I44</f>
        <v>3241.8001919999997</v>
      </c>
      <c r="J45" s="56">
        <f>J42+J43-J44</f>
        <v>3806.7899603199999</v>
      </c>
      <c r="K45" s="56">
        <f>K42+K43-K44</f>
        <v>4397.3448019711986</v>
      </c>
      <c r="L45" s="56">
        <f>L42+L43-L44</f>
        <v>5011.6267691601906</v>
      </c>
    </row>
    <row r="46" spans="1:12" x14ac:dyDescent="0.35">
      <c r="A46" s="51" t="s">
        <v>273</v>
      </c>
      <c r="B46" s="22" t="s">
        <v>75</v>
      </c>
      <c r="F46" s="52">
        <f>Hist_Data!F115/BS!E9</f>
        <v>0.19426751592356689</v>
      </c>
      <c r="G46" s="52">
        <f>Hist_Data!G115/BS!F9</f>
        <v>0.21428571428571427</v>
      </c>
      <c r="H46" s="40">
        <f>Inputs!H84</f>
        <v>0.12</v>
      </c>
      <c r="I46" s="40">
        <f>Inputs!I84</f>
        <v>0.12</v>
      </c>
      <c r="J46" s="40">
        <f>Inputs!J84</f>
        <v>0.12</v>
      </c>
      <c r="K46" s="40">
        <f>Inputs!K84</f>
        <v>0.12</v>
      </c>
      <c r="L46" s="40">
        <f>Inputs!L84</f>
        <v>0.12</v>
      </c>
    </row>
    <row r="47" spans="1:12" x14ac:dyDescent="0.35">
      <c r="A47" s="5" t="s">
        <v>274</v>
      </c>
      <c r="B47" s="22"/>
      <c r="H47" s="53">
        <f>G50</f>
        <v>1133</v>
      </c>
      <c r="I47" s="53">
        <f>H50</f>
        <v>1183.0684159999998</v>
      </c>
      <c r="J47" s="53">
        <f>I50</f>
        <v>1255.0328844799999</v>
      </c>
      <c r="K47" s="53">
        <f>J50</f>
        <v>1346.1728649344</v>
      </c>
      <c r="L47" s="53">
        <f>K50</f>
        <v>1455.3853189253118</v>
      </c>
    </row>
    <row r="48" spans="1:12" x14ac:dyDescent="0.35">
      <c r="A48" s="5" t="s">
        <v>275</v>
      </c>
      <c r="B48" s="22"/>
      <c r="H48" s="53">
        <f>H33</f>
        <v>186.02841599999996</v>
      </c>
      <c r="I48" s="53">
        <f>I33</f>
        <v>213.93267839999996</v>
      </c>
      <c r="J48" s="53">
        <f>J33</f>
        <v>241.74392659199989</v>
      </c>
      <c r="K48" s="53">
        <f>K33</f>
        <v>270.75319778303992</v>
      </c>
      <c r="L48" s="53">
        <f>L33</f>
        <v>300.53604953917431</v>
      </c>
    </row>
    <row r="49" spans="1:12" x14ac:dyDescent="0.35">
      <c r="A49" s="5" t="s">
        <v>276</v>
      </c>
      <c r="B49" s="22"/>
      <c r="F49" s="26">
        <f>Hist_Data!F115</f>
        <v>61</v>
      </c>
      <c r="G49" s="26">
        <f>Hist_Data!G115</f>
        <v>69</v>
      </c>
      <c r="H49" s="53">
        <f>H47*H46</f>
        <v>135.96</v>
      </c>
      <c r="I49" s="53">
        <f>I47*I46</f>
        <v>141.96820991999996</v>
      </c>
      <c r="J49" s="53">
        <f>J47*J46</f>
        <v>150.60394613759999</v>
      </c>
      <c r="K49" s="53">
        <f>K47*K46</f>
        <v>161.54074379212798</v>
      </c>
      <c r="L49" s="53">
        <f>L47*L46</f>
        <v>174.64623827103742</v>
      </c>
    </row>
    <row r="50" spans="1:12" x14ac:dyDescent="0.35">
      <c r="A50" s="54" t="s">
        <v>277</v>
      </c>
      <c r="B50" s="55"/>
      <c r="C50" s="66">
        <f>BS!C9</f>
        <v>245</v>
      </c>
      <c r="D50" s="66">
        <f>BS!D9</f>
        <v>257</v>
      </c>
      <c r="E50" s="66">
        <f>BS!E9</f>
        <v>314</v>
      </c>
      <c r="F50" s="66">
        <f>BS!F9</f>
        <v>322</v>
      </c>
      <c r="G50" s="66">
        <f>BS!G9</f>
        <v>1133</v>
      </c>
      <c r="H50" s="56">
        <f>H47+H48-H49</f>
        <v>1183.0684159999998</v>
      </c>
      <c r="I50" s="56">
        <f>I47+I48-I49</f>
        <v>1255.0328844799999</v>
      </c>
      <c r="J50" s="56">
        <f>J47+J48-J49</f>
        <v>1346.1728649344</v>
      </c>
      <c r="K50" s="56">
        <f>K47+K48-K49</f>
        <v>1455.3853189253118</v>
      </c>
      <c r="L50" s="56">
        <f>L47+L48-L49</f>
        <v>1581.2751301934486</v>
      </c>
    </row>
    <row r="51" spans="1:12" x14ac:dyDescent="0.35">
      <c r="A51" s="58" t="s">
        <v>278</v>
      </c>
      <c r="B51" s="59"/>
      <c r="C51" s="67">
        <f>IS!C16</f>
        <v>399</v>
      </c>
      <c r="D51" s="67">
        <f>IS!D16</f>
        <v>441</v>
      </c>
      <c r="E51" s="67">
        <f>IS!E16</f>
        <v>584</v>
      </c>
      <c r="F51" s="67">
        <f>IS!F16</f>
        <v>693</v>
      </c>
      <c r="G51" s="67">
        <f>IS!G16</f>
        <v>826</v>
      </c>
      <c r="H51" s="60">
        <f>H38+H44+H49</f>
        <v>1135.56</v>
      </c>
      <c r="I51" s="60">
        <f>I38+I44+I49</f>
        <v>1356.1918617599999</v>
      </c>
      <c r="J51" s="60">
        <f>J38+J44+J49</f>
        <v>1597.8885422591998</v>
      </c>
      <c r="K51" s="60">
        <f>K38+K44+K49</f>
        <v>1856.5236364139519</v>
      </c>
      <c r="L51" s="60">
        <f>L38+L44+L49</f>
        <v>2131.8286638692348</v>
      </c>
    </row>
    <row r="53" spans="1:12" x14ac:dyDescent="0.35">
      <c r="A53" s="29" t="s">
        <v>279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</row>
    <row r="54" spans="1:12" x14ac:dyDescent="0.35">
      <c r="A54" s="5" t="s">
        <v>280</v>
      </c>
      <c r="B54" s="22"/>
      <c r="H54" s="53">
        <f>G56</f>
        <v>93</v>
      </c>
      <c r="I54" s="53">
        <f>H56</f>
        <v>0</v>
      </c>
      <c r="J54" s="53">
        <f>I56</f>
        <v>0</v>
      </c>
      <c r="K54" s="53">
        <f>J56</f>
        <v>0</v>
      </c>
      <c r="L54" s="53">
        <f>K56</f>
        <v>0</v>
      </c>
    </row>
    <row r="55" spans="1:12" x14ac:dyDescent="0.35">
      <c r="A55" s="5" t="s">
        <v>281</v>
      </c>
      <c r="B55" s="22"/>
      <c r="H55" s="53">
        <f>MIN(H54,Inputs!H91)</f>
        <v>93</v>
      </c>
      <c r="I55" s="53">
        <f>MIN(I54,Inputs!I91)</f>
        <v>0</v>
      </c>
      <c r="J55" s="53">
        <f>MIN(J54,Inputs!J91)</f>
        <v>0</v>
      </c>
      <c r="K55" s="53">
        <f>MIN(K54,Inputs!K91)</f>
        <v>0</v>
      </c>
      <c r="L55" s="53">
        <f>MIN(L54,Inputs!L91)</f>
        <v>0</v>
      </c>
    </row>
    <row r="56" spans="1:12" x14ac:dyDescent="0.35">
      <c r="A56" s="54" t="s">
        <v>282</v>
      </c>
      <c r="B56" s="55"/>
      <c r="C56" s="66">
        <f>Hist_Data!C54</f>
        <v>2</v>
      </c>
      <c r="D56" s="66">
        <f>Hist_Data!D54</f>
        <v>0</v>
      </c>
      <c r="E56" s="66">
        <f>Hist_Data!E54</f>
        <v>3302</v>
      </c>
      <c r="F56" s="66">
        <f>Hist_Data!F54</f>
        <v>595</v>
      </c>
      <c r="G56" s="66">
        <f>Hist_Data!G54</f>
        <v>93</v>
      </c>
      <c r="H56" s="56">
        <f>H54-H55</f>
        <v>0</v>
      </c>
      <c r="I56" s="56">
        <f>I54-I55</f>
        <v>0</v>
      </c>
      <c r="J56" s="56">
        <f>J54-J55</f>
        <v>0</v>
      </c>
      <c r="K56" s="56">
        <f>K54-K55</f>
        <v>0</v>
      </c>
      <c r="L56" s="56">
        <f>L54-L55</f>
        <v>0</v>
      </c>
    </row>
    <row r="57" spans="1:12" x14ac:dyDescent="0.35">
      <c r="A57" s="51" t="s">
        <v>283</v>
      </c>
      <c r="B57" s="22" t="s">
        <v>75</v>
      </c>
      <c r="C57" s="57">
        <f>BS!C17/C6</f>
        <v>7.6044307093996316E-3</v>
      </c>
      <c r="D57" s="57">
        <f>BS!D17/D6</f>
        <v>5.7178065311152184E-3</v>
      </c>
      <c r="E57" s="57">
        <f>BS!E17/E6</f>
        <v>8.0064207971184721E-3</v>
      </c>
      <c r="F57" s="57">
        <f>BS!F17/F6</f>
        <v>6.7321688500727806E-3</v>
      </c>
      <c r="G57" s="57">
        <f>BS!G17/G6</f>
        <v>9.9675739861161856E-3</v>
      </c>
      <c r="H57" s="43">
        <f>Inputs!H79</f>
        <v>0.01</v>
      </c>
      <c r="I57" s="43">
        <f>Inputs!I79</f>
        <v>0.01</v>
      </c>
      <c r="J57" s="43">
        <f>Inputs!J79</f>
        <v>0.01</v>
      </c>
      <c r="K57" s="43">
        <f>Inputs!K79</f>
        <v>0.01</v>
      </c>
      <c r="L57" s="43">
        <f>Inputs!L79</f>
        <v>0.01</v>
      </c>
    </row>
    <row r="58" spans="1:12" x14ac:dyDescent="0.35">
      <c r="A58" s="5" t="s">
        <v>284</v>
      </c>
      <c r="B58" s="22"/>
      <c r="H58" s="53">
        <f>H6*H57</f>
        <v>1033.4911999999999</v>
      </c>
      <c r="I58" s="53">
        <f>I6*I57</f>
        <v>1188.5148799999999</v>
      </c>
      <c r="J58" s="53">
        <f>J6*J57</f>
        <v>1343.0218143999996</v>
      </c>
      <c r="K58" s="53">
        <f>K6*K57</f>
        <v>1504.1844321279996</v>
      </c>
      <c r="L58" s="53">
        <f>L6*L57</f>
        <v>1669.6447196620795</v>
      </c>
    </row>
    <row r="59" spans="1:12" x14ac:dyDescent="0.35">
      <c r="A59" s="5" t="s">
        <v>285</v>
      </c>
      <c r="B59" s="22"/>
      <c r="H59" s="53">
        <f>BS!G17+CF!H17+CF!H21+CF!H23+CF!H25+CF!H26+CF!H27+CF!H28</f>
        <v>626.56160762959939</v>
      </c>
      <c r="I59" s="53">
        <f>BS!H17+CF!I17+CF!I21+CF!I23+CF!I25+CF!I26+CF!I27+CF!I28</f>
        <v>2037.4554215355699</v>
      </c>
      <c r="J59" s="53">
        <f>BS!I17+CF!J17+CF!J21+CF!J23+CF!J25+CF!J26+CF!J27+CF!J28</f>
        <v>3040.5594692816594</v>
      </c>
      <c r="K59" s="53">
        <f>BS!J17+CF!K17+CF!K21+CF!K23+CF!K25+CF!K26+CF!K27+CF!K28</f>
        <v>3858.2400499138844</v>
      </c>
      <c r="L59" s="53">
        <f>BS!K17+CF!L17+CF!L21+CF!L23+CF!L25+CF!L26+CF!L27+CF!L28</f>
        <v>4745.649541777012</v>
      </c>
    </row>
    <row r="60" spans="1:12" x14ac:dyDescent="0.35">
      <c r="A60" s="5" t="s">
        <v>286</v>
      </c>
      <c r="B60" s="22"/>
      <c r="H60" s="53">
        <f>G62</f>
        <v>11285</v>
      </c>
      <c r="I60" s="53">
        <f>H62</f>
        <v>11691.929592370401</v>
      </c>
      <c r="J60" s="53">
        <f>I62</f>
        <v>10842.989050834831</v>
      </c>
      <c r="K60" s="53">
        <f>J62</f>
        <v>9145.4513959531705</v>
      </c>
      <c r="L60" s="53">
        <f>K62</f>
        <v>6791.3957781672852</v>
      </c>
    </row>
    <row r="61" spans="1:12" x14ac:dyDescent="0.35">
      <c r="A61" s="5" t="s">
        <v>287</v>
      </c>
      <c r="B61" s="22"/>
      <c r="H61" s="53">
        <f>MAX(H58-H59,-H60)</f>
        <v>406.92959237040054</v>
      </c>
      <c r="I61" s="53">
        <f>MAX(I58-I59,-I60)</f>
        <v>-848.94054153556999</v>
      </c>
      <c r="J61" s="53">
        <f>MAX(J58-J59,-J60)</f>
        <v>-1697.5376548816598</v>
      </c>
      <c r="K61" s="53">
        <f>MAX(K58-K59,-K60)</f>
        <v>-2354.0556177858848</v>
      </c>
      <c r="L61" s="53">
        <f>MAX(L58-L59,-L60)</f>
        <v>-3076.0048221149327</v>
      </c>
    </row>
    <row r="62" spans="1:12" x14ac:dyDescent="0.35">
      <c r="A62" s="54" t="s">
        <v>288</v>
      </c>
      <c r="B62" s="55"/>
      <c r="C62" s="66">
        <f>Hist_Data!C60</f>
        <v>516</v>
      </c>
      <c r="D62" s="66">
        <f>Hist_Data!D60</f>
        <v>2195</v>
      </c>
      <c r="E62" s="66">
        <f>Hist_Data!E60</f>
        <v>4536</v>
      </c>
      <c r="F62" s="66">
        <f>Hist_Data!F60</f>
        <v>9691</v>
      </c>
      <c r="G62" s="66">
        <f>Hist_Data!G60</f>
        <v>11285</v>
      </c>
      <c r="H62" s="56">
        <f>H60+H61</f>
        <v>11691.929592370401</v>
      </c>
      <c r="I62" s="56">
        <f>I60+I61</f>
        <v>10842.989050834831</v>
      </c>
      <c r="J62" s="56">
        <f>J60+J61</f>
        <v>9145.4513959531705</v>
      </c>
      <c r="K62" s="56">
        <f>K60+K61</f>
        <v>6791.3957781672852</v>
      </c>
      <c r="L62" s="56">
        <f>L60+L61</f>
        <v>3715.3909560523525</v>
      </c>
    </row>
    <row r="63" spans="1:12" x14ac:dyDescent="0.35">
      <c r="A63" s="58" t="s">
        <v>289</v>
      </c>
      <c r="B63" s="59"/>
      <c r="C63" s="60">
        <f t="shared" ref="C63:L63" si="6">C56+C62</f>
        <v>518</v>
      </c>
      <c r="D63" s="60">
        <f t="shared" si="6"/>
        <v>2195</v>
      </c>
      <c r="E63" s="60">
        <f t="shared" si="6"/>
        <v>7838</v>
      </c>
      <c r="F63" s="60">
        <f t="shared" si="6"/>
        <v>10286</v>
      </c>
      <c r="G63" s="60">
        <f t="shared" si="6"/>
        <v>11378</v>
      </c>
      <c r="H63" s="60">
        <f t="shared" si="6"/>
        <v>11691.929592370401</v>
      </c>
      <c r="I63" s="60">
        <f t="shared" si="6"/>
        <v>10842.989050834831</v>
      </c>
      <c r="J63" s="60">
        <f t="shared" si="6"/>
        <v>9145.4513959531705</v>
      </c>
      <c r="K63" s="60">
        <f t="shared" si="6"/>
        <v>6791.3957781672852</v>
      </c>
      <c r="L63" s="60">
        <f t="shared" si="6"/>
        <v>3715.3909560523525</v>
      </c>
    </row>
    <row r="64" spans="1:12" x14ac:dyDescent="0.35">
      <c r="A64" s="51" t="s">
        <v>150</v>
      </c>
      <c r="B64" s="22" t="s">
        <v>75</v>
      </c>
      <c r="F64" s="57">
        <f>Hist_Data!F110/E70</f>
        <v>9.4508301404853126E-2</v>
      </c>
      <c r="G64" s="57">
        <f>Hist_Data!G110/F70</f>
        <v>9.2129802312569939E-2</v>
      </c>
      <c r="H64" s="43">
        <f>Inputs!H88</f>
        <v>0.09</v>
      </c>
      <c r="I64" s="43">
        <f>Inputs!I88</f>
        <v>0.09</v>
      </c>
      <c r="J64" s="43">
        <f>Inputs!J88</f>
        <v>0.09</v>
      </c>
      <c r="K64" s="43">
        <f>Inputs!K88</f>
        <v>0.09</v>
      </c>
      <c r="L64" s="43">
        <f>Inputs!L88</f>
        <v>0.09</v>
      </c>
    </row>
    <row r="65" spans="1:12" x14ac:dyDescent="0.35">
      <c r="A65" s="51" t="s">
        <v>290</v>
      </c>
      <c r="B65" s="22" t="s">
        <v>75</v>
      </c>
      <c r="D65" s="52">
        <f>-CF!D26/C70</f>
        <v>0.18690213392200147</v>
      </c>
      <c r="E65" s="52">
        <f>-CF!E26/D70</f>
        <v>0.16978109983982914</v>
      </c>
      <c r="F65" s="52">
        <f>-CF!F26/E70</f>
        <v>0.29799914857386123</v>
      </c>
      <c r="G65" s="52">
        <f>-CF!G26/F70</f>
        <v>0.3226408056695263</v>
      </c>
      <c r="H65" s="40">
        <f>Inputs!H87</f>
        <v>0.32</v>
      </c>
      <c r="I65" s="40">
        <f>Inputs!I87</f>
        <v>0.32</v>
      </c>
      <c r="J65" s="40">
        <f>Inputs!J87</f>
        <v>0.32</v>
      </c>
      <c r="K65" s="40">
        <f>Inputs!K87</f>
        <v>0.32</v>
      </c>
      <c r="L65" s="40">
        <f>Inputs!L87</f>
        <v>0.32</v>
      </c>
    </row>
    <row r="66" spans="1:12" x14ac:dyDescent="0.35">
      <c r="A66" s="5" t="s">
        <v>291</v>
      </c>
      <c r="B66" s="22"/>
      <c r="H66" s="53">
        <f>G70</f>
        <v>3173</v>
      </c>
      <c r="I66" s="53">
        <f>H70</f>
        <v>3476.7012</v>
      </c>
      <c r="J66" s="53">
        <f>I70</f>
        <v>3865.5748040000008</v>
      </c>
      <c r="K66" s="53">
        <f>J70</f>
        <v>4319.5144134800012</v>
      </c>
      <c r="L66" s="53">
        <f>K70</f>
        <v>4830.2105305076002</v>
      </c>
    </row>
    <row r="67" spans="1:12" x14ac:dyDescent="0.35">
      <c r="A67" s="5" t="s">
        <v>292</v>
      </c>
      <c r="B67" s="22"/>
      <c r="H67" s="53">
        <f>H6*H40</f>
        <v>1033.4911999999999</v>
      </c>
      <c r="I67" s="53">
        <f>I6*I40</f>
        <v>1188.5148799999999</v>
      </c>
      <c r="J67" s="53">
        <f>J6*J40</f>
        <v>1343.0218143999996</v>
      </c>
      <c r="K67" s="53">
        <f>K6*K40</f>
        <v>1504.1844321279996</v>
      </c>
      <c r="L67" s="53">
        <f>L6*L40</f>
        <v>1669.6447196620795</v>
      </c>
    </row>
    <row r="68" spans="1:12" x14ac:dyDescent="0.35">
      <c r="A68" s="5" t="s">
        <v>293</v>
      </c>
      <c r="B68" s="22"/>
      <c r="F68" s="26">
        <f>Hist_Data!F110</f>
        <v>222</v>
      </c>
      <c r="G68" s="26">
        <f>Hist_Data!G110</f>
        <v>247</v>
      </c>
      <c r="H68" s="53">
        <f>H66*H64</f>
        <v>285.57</v>
      </c>
      <c r="I68" s="53">
        <f>I66*I64</f>
        <v>312.90310799999997</v>
      </c>
      <c r="J68" s="53">
        <f>J66*J64</f>
        <v>347.90173236000004</v>
      </c>
      <c r="K68" s="53">
        <f>K66*K64</f>
        <v>388.75629721320007</v>
      </c>
      <c r="L68" s="53">
        <f>L66*L64</f>
        <v>434.71894774568398</v>
      </c>
    </row>
    <row r="69" spans="1:12" x14ac:dyDescent="0.35">
      <c r="A69" s="5" t="s">
        <v>294</v>
      </c>
      <c r="B69" s="22"/>
      <c r="C69" s="26">
        <f>-CF!C26</f>
        <v>172</v>
      </c>
      <c r="D69" s="26">
        <f>-CF!D26</f>
        <v>254</v>
      </c>
      <c r="E69" s="26">
        <f>-CF!E26</f>
        <v>318</v>
      </c>
      <c r="F69" s="26">
        <f>-CF!F26</f>
        <v>700</v>
      </c>
      <c r="G69" s="26">
        <f>-CF!G26</f>
        <v>865</v>
      </c>
      <c r="H69" s="53">
        <f>H66*H65</f>
        <v>1015.36</v>
      </c>
      <c r="I69" s="53">
        <f>I66*I65</f>
        <v>1112.544384</v>
      </c>
      <c r="J69" s="53">
        <f>J66*J65</f>
        <v>1236.9839372800002</v>
      </c>
      <c r="K69" s="53">
        <f>K66*K65</f>
        <v>1382.2446123136003</v>
      </c>
      <c r="L69" s="53">
        <f>L66*L65</f>
        <v>1545.6673697624321</v>
      </c>
    </row>
    <row r="70" spans="1:12" x14ac:dyDescent="0.35">
      <c r="A70" s="54" t="s">
        <v>295</v>
      </c>
      <c r="B70" s="55"/>
      <c r="C70" s="66">
        <f>BS!C27</f>
        <v>1359</v>
      </c>
      <c r="D70" s="66">
        <f>BS!D27</f>
        <v>1873</v>
      </c>
      <c r="E70" s="66">
        <f>BS!E27</f>
        <v>2349</v>
      </c>
      <c r="F70" s="66">
        <f>BS!F27</f>
        <v>2681</v>
      </c>
      <c r="G70" s="66">
        <f>BS!G27</f>
        <v>3173</v>
      </c>
      <c r="H70" s="56">
        <f>H66+H67+H68-H69</f>
        <v>3476.7012</v>
      </c>
      <c r="I70" s="56">
        <f>I66+I67+I68-I69</f>
        <v>3865.5748040000008</v>
      </c>
      <c r="J70" s="56">
        <f>J66+J67+J68-J69</f>
        <v>4319.5144134800012</v>
      </c>
      <c r="K70" s="56">
        <f>K66+K67+K68-K69</f>
        <v>4830.2105305076002</v>
      </c>
      <c r="L70" s="56">
        <f>L66+L67+L68-L69</f>
        <v>5388.9068281529317</v>
      </c>
    </row>
    <row r="71" spans="1:12" x14ac:dyDescent="0.35">
      <c r="A71" s="51" t="s">
        <v>296</v>
      </c>
      <c r="B71" s="22" t="s">
        <v>75</v>
      </c>
      <c r="F71" s="57">
        <f>Hist_Data!F109/E63</f>
        <v>7.0298545547333502E-2</v>
      </c>
      <c r="G71" s="57">
        <f>Hist_Data!G109/F63</f>
        <v>5.9303908224771537E-2</v>
      </c>
      <c r="H71" s="43">
        <f>Inputs!H66</f>
        <v>5.8000000000000003E-2</v>
      </c>
      <c r="I71" s="43">
        <f>Inputs!I66</f>
        <v>5.8000000000000003E-2</v>
      </c>
      <c r="J71" s="43">
        <f>Inputs!J66</f>
        <v>5.8000000000000003E-2</v>
      </c>
      <c r="K71" s="43">
        <f>Inputs!K66</f>
        <v>5.8000000000000003E-2</v>
      </c>
      <c r="L71" s="43">
        <f>Inputs!L66</f>
        <v>5.8000000000000003E-2</v>
      </c>
    </row>
    <row r="72" spans="1:12" x14ac:dyDescent="0.35">
      <c r="A72" s="51" t="s">
        <v>297</v>
      </c>
      <c r="B72" s="22" t="s">
        <v>75</v>
      </c>
      <c r="F72" s="57">
        <f>Hist_Data!F111/E23</f>
        <v>3.2578168882231792E-2</v>
      </c>
      <c r="G72" s="57">
        <f>Hist_Data!G111/F23</f>
        <v>4.0973111395646605E-2</v>
      </c>
      <c r="H72" s="43">
        <f>Inputs!H89</f>
        <v>2.9000000000000001E-2</v>
      </c>
      <c r="I72" s="43">
        <f>Inputs!I89</f>
        <v>2.9000000000000001E-2</v>
      </c>
      <c r="J72" s="43">
        <f>Inputs!J89</f>
        <v>2.9000000000000001E-2</v>
      </c>
      <c r="K72" s="43">
        <f>Inputs!K89</f>
        <v>2.9000000000000001E-2</v>
      </c>
      <c r="L72" s="43">
        <f>Inputs!L89</f>
        <v>2.9000000000000001E-2</v>
      </c>
    </row>
    <row r="73" spans="1:12" x14ac:dyDescent="0.35">
      <c r="A73" s="5" t="s">
        <v>298</v>
      </c>
      <c r="B73" s="22"/>
      <c r="F73" s="53">
        <f>Hist_Data!F109+Hist_Data!F112</f>
        <v>557</v>
      </c>
      <c r="G73" s="53">
        <f>Hist_Data!G109+Hist_Data!G112</f>
        <v>613</v>
      </c>
      <c r="H73" s="53">
        <f>G63*H71</f>
        <v>659.92399999999998</v>
      </c>
      <c r="I73" s="53">
        <f>H63*I71</f>
        <v>678.13191635748331</v>
      </c>
      <c r="J73" s="53">
        <f>I63*J71</f>
        <v>628.89336494842019</v>
      </c>
      <c r="K73" s="53">
        <f>J63*K71</f>
        <v>530.43618096528394</v>
      </c>
      <c r="L73" s="53">
        <f>K63*L71</f>
        <v>393.90095513370255</v>
      </c>
    </row>
    <row r="74" spans="1:12" x14ac:dyDescent="0.35">
      <c r="A74" s="5" t="s">
        <v>299</v>
      </c>
      <c r="B74" s="22"/>
      <c r="F74" s="26">
        <f>Hist_Data!F111</f>
        <v>174</v>
      </c>
      <c r="G74" s="26">
        <f>Hist_Data!G111</f>
        <v>320</v>
      </c>
      <c r="H74" s="53">
        <f>G23*H72</f>
        <v>466.03000000000003</v>
      </c>
      <c r="I74" s="53">
        <f>H23*I72</f>
        <v>536.72505187839988</v>
      </c>
      <c r="J74" s="53">
        <f>I23*J72</f>
        <v>616.46514987228932</v>
      </c>
      <c r="K74" s="53">
        <f>J23*K72</f>
        <v>695.7370337953929</v>
      </c>
      <c r="L74" s="53">
        <f>K23*L72</f>
        <v>778.2526620233109</v>
      </c>
    </row>
    <row r="75" spans="1:12" x14ac:dyDescent="0.35">
      <c r="A75" s="58" t="s">
        <v>300</v>
      </c>
      <c r="B75" s="59"/>
      <c r="C75" s="67">
        <f>IS!C21</f>
        <v>218</v>
      </c>
      <c r="D75" s="67">
        <f>IS!D21</f>
        <v>300</v>
      </c>
      <c r="E75" s="67">
        <f>IS!E21</f>
        <v>619</v>
      </c>
      <c r="F75" s="67">
        <f>IS!F21</f>
        <v>953</v>
      </c>
      <c r="G75" s="67">
        <f>IS!G21</f>
        <v>1180</v>
      </c>
      <c r="H75" s="60">
        <f>H73+H74+H68</f>
        <v>1411.5239999999999</v>
      </c>
      <c r="I75" s="60">
        <f>I73+I74+I68</f>
        <v>1527.7600762358832</v>
      </c>
      <c r="J75" s="60">
        <f>J73+J74+J68</f>
        <v>1593.2602471807095</v>
      </c>
      <c r="K75" s="60">
        <f>K73+K74+K68</f>
        <v>1614.9295119738767</v>
      </c>
      <c r="L75" s="60">
        <f>L73+L74+L68</f>
        <v>1606.8725649026974</v>
      </c>
    </row>
    <row r="76" spans="1:12" x14ac:dyDescent="0.35">
      <c r="A76" s="5" t="s">
        <v>301</v>
      </c>
      <c r="B76" s="22"/>
      <c r="H76" s="53">
        <f>H73+H74</f>
        <v>1125.954</v>
      </c>
      <c r="I76" s="53">
        <f>I73+I74</f>
        <v>1214.8569682358832</v>
      </c>
      <c r="J76" s="53">
        <f>J73+J74</f>
        <v>1245.3585148207094</v>
      </c>
      <c r="K76" s="53">
        <f>K73+K74</f>
        <v>1226.1732147606767</v>
      </c>
      <c r="L76" s="53">
        <f>L73+L74</f>
        <v>1172.1536171570135</v>
      </c>
    </row>
    <row r="78" spans="1:12" x14ac:dyDescent="0.35">
      <c r="A78" s="29" t="s">
        <v>302</v>
      </c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</row>
    <row r="79" spans="1:12" x14ac:dyDescent="0.35">
      <c r="A79" s="51" t="s">
        <v>303</v>
      </c>
      <c r="B79" s="22" t="s">
        <v>75</v>
      </c>
      <c r="C79" s="57">
        <f>BS!C16/C6</f>
        <v>4.7536372790721898E-2</v>
      </c>
      <c r="D79" s="57">
        <f>BS!D16/D6</f>
        <v>8.0714725816389402E-2</v>
      </c>
      <c r="E79" s="57">
        <f>BS!E16/E6</f>
        <v>5.4478897502153317E-2</v>
      </c>
      <c r="F79" s="57">
        <f>BS!F16/F6</f>
        <v>4.1583961889638747E-2</v>
      </c>
      <c r="G79" s="57">
        <f>BS!G16/G6</f>
        <v>3.7598191450493243E-2</v>
      </c>
      <c r="H79" s="43">
        <f>Inputs!H78</f>
        <v>3.5000000000000003E-2</v>
      </c>
      <c r="I79" s="43">
        <f>Inputs!I78</f>
        <v>3.5000000000000003E-2</v>
      </c>
      <c r="J79" s="43">
        <f>Inputs!J78</f>
        <v>3.5000000000000003E-2</v>
      </c>
      <c r="K79" s="43">
        <f>Inputs!K78</f>
        <v>3.5000000000000003E-2</v>
      </c>
      <c r="L79" s="43">
        <f>Inputs!L78</f>
        <v>3.5000000000000003E-2</v>
      </c>
    </row>
    <row r="80" spans="1:12" x14ac:dyDescent="0.35">
      <c r="A80" s="5" t="s">
        <v>304</v>
      </c>
      <c r="B80" s="22"/>
      <c r="C80" s="26">
        <f>BS!C16</f>
        <v>1369</v>
      </c>
      <c r="D80" s="26">
        <f>BS!D16</f>
        <v>3275</v>
      </c>
      <c r="E80" s="26">
        <f>BS!E16</f>
        <v>2783</v>
      </c>
      <c r="F80" s="26">
        <f>BS!F16</f>
        <v>2514</v>
      </c>
      <c r="G80" s="26">
        <f>BS!G16</f>
        <v>3293</v>
      </c>
      <c r="H80" s="53">
        <f>H6*H79</f>
        <v>3617.2192</v>
      </c>
      <c r="I80" s="53">
        <f>I6*I79</f>
        <v>4159.8020799999995</v>
      </c>
      <c r="J80" s="53">
        <f>J6*J79</f>
        <v>4700.5763503999988</v>
      </c>
      <c r="K80" s="53">
        <f>K6*K79</f>
        <v>5264.645512447999</v>
      </c>
      <c r="L80" s="53">
        <f>L6*L79</f>
        <v>5843.7565188172794</v>
      </c>
    </row>
    <row r="81" spans="1:12" x14ac:dyDescent="0.35">
      <c r="A81" s="51" t="s">
        <v>305</v>
      </c>
      <c r="B81" s="22" t="s">
        <v>75</v>
      </c>
      <c r="D81" s="52">
        <f>IS!D20/D82</f>
        <v>0.16497054097482591</v>
      </c>
      <c r="E81" s="52">
        <f>IS!E20/E82</f>
        <v>0.1381544841886988</v>
      </c>
      <c r="F81" s="52">
        <f>IS!F20/F82</f>
        <v>0.12554895375871869</v>
      </c>
      <c r="G81" s="52">
        <f>IS!G20/G82</f>
        <v>0.15453527435610304</v>
      </c>
      <c r="H81" s="40">
        <f>Inputs!H90</f>
        <v>0.09</v>
      </c>
      <c r="I81" s="40">
        <f>Inputs!I90</f>
        <v>0.09</v>
      </c>
      <c r="J81" s="40">
        <f>Inputs!J90</f>
        <v>0.09</v>
      </c>
      <c r="K81" s="40">
        <f>Inputs!K90</f>
        <v>0.09</v>
      </c>
      <c r="L81" s="40">
        <f>Inputs!L90</f>
        <v>0.09</v>
      </c>
    </row>
    <row r="82" spans="1:12" x14ac:dyDescent="0.35">
      <c r="A82" s="5" t="s">
        <v>306</v>
      </c>
      <c r="B82" s="22"/>
      <c r="D82" s="53">
        <f>BS!C17+BS!C16+BS!C10</f>
        <v>1867</v>
      </c>
      <c r="E82" s="53">
        <f>BS!D17+BS!D16+BS!D10</f>
        <v>3858</v>
      </c>
      <c r="F82" s="53">
        <f>BS!E17+BS!E16+BS!E10</f>
        <v>3871</v>
      </c>
      <c r="G82" s="53">
        <f>BS!F17+BS!F16+BS!F10</f>
        <v>3572</v>
      </c>
      <c r="H82" s="53">
        <f>BS!G17+BS!G16+BS!G10</f>
        <v>5423</v>
      </c>
      <c r="I82" s="53">
        <f>BS!H17+BS!H16+BS!H10</f>
        <v>5907.7103999999999</v>
      </c>
      <c r="J82" s="53">
        <f>BS!I17+BS!I16+BS!I10</f>
        <v>6605.3169600000001</v>
      </c>
      <c r="K82" s="53">
        <f>BS!J17+BS!J16+BS!J10</f>
        <v>7300.5981647999988</v>
      </c>
      <c r="L82" s="53">
        <f>BS!K17+BS!K16+BS!K10</f>
        <v>8025.8299445759967</v>
      </c>
    </row>
    <row r="83" spans="1:12" x14ac:dyDescent="0.35">
      <c r="A83" s="58" t="s">
        <v>167</v>
      </c>
      <c r="B83" s="59"/>
      <c r="C83" s="67">
        <f>IS!C20</f>
        <v>234</v>
      </c>
      <c r="D83" s="67">
        <f>IS!D20</f>
        <v>308</v>
      </c>
      <c r="E83" s="67">
        <f>IS!E20</f>
        <v>533</v>
      </c>
      <c r="F83" s="67">
        <f>IS!F20</f>
        <v>486</v>
      </c>
      <c r="G83" s="67">
        <f>IS!G20</f>
        <v>552</v>
      </c>
      <c r="H83" s="60">
        <f>H82*H81</f>
        <v>488.07</v>
      </c>
      <c r="I83" s="60">
        <f>I82*I81</f>
        <v>531.69393600000001</v>
      </c>
      <c r="J83" s="60">
        <f>J82*J81</f>
        <v>594.47852639999996</v>
      </c>
      <c r="K83" s="60">
        <f>K82*K81</f>
        <v>657.05383483199989</v>
      </c>
      <c r="L83" s="60">
        <f>L82*L81</f>
        <v>722.32469501183971</v>
      </c>
    </row>
    <row r="85" spans="1:12" x14ac:dyDescent="0.35">
      <c r="A85" s="29" t="s">
        <v>307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</row>
    <row r="86" spans="1:12" x14ac:dyDescent="0.35">
      <c r="A86" s="51" t="s">
        <v>308</v>
      </c>
      <c r="B86" s="22" t="s">
        <v>75</v>
      </c>
      <c r="D86" s="52">
        <f>-CF!D25/IS!C27</f>
        <v>0.30300272975432213</v>
      </c>
      <c r="E86" s="52">
        <f>-CF!E25/IS!D27</f>
        <v>0.2712278558338424</v>
      </c>
      <c r="F86" s="52">
        <f>-CF!F25/IS!E27</f>
        <v>0.2791762013729977</v>
      </c>
      <c r="G86" s="52">
        <f>-CF!G25/IS!F27</f>
        <v>0.29247827389871139</v>
      </c>
      <c r="H86" s="40">
        <f>Inputs!H81</f>
        <v>0.27</v>
      </c>
      <c r="I86" s="40">
        <f>Inputs!I81</f>
        <v>0.27</v>
      </c>
      <c r="J86" s="40">
        <f>Inputs!J81</f>
        <v>0.27</v>
      </c>
      <c r="K86" s="40">
        <f>Inputs!K81</f>
        <v>0.27</v>
      </c>
      <c r="L86" s="40">
        <f>Inputs!L81</f>
        <v>0.27</v>
      </c>
    </row>
    <row r="87" spans="1:12" x14ac:dyDescent="0.35">
      <c r="A87" s="5" t="s">
        <v>309</v>
      </c>
      <c r="B87" s="22"/>
      <c r="H87" s="53">
        <f>G90</f>
        <v>15614</v>
      </c>
      <c r="I87" s="53">
        <f>H90</f>
        <v>20109.71613392001</v>
      </c>
      <c r="J87" s="53">
        <f>I90</f>
        <v>25460.261192976672</v>
      </c>
      <c r="K87" s="53">
        <f>J90</f>
        <v>31669.851181064834</v>
      </c>
      <c r="L87" s="53">
        <f>K90</f>
        <v>38721.644101280821</v>
      </c>
    </row>
    <row r="88" spans="1:12" x14ac:dyDescent="0.35">
      <c r="A88" s="5" t="s">
        <v>310</v>
      </c>
      <c r="B88" s="22"/>
      <c r="H88" s="26">
        <f>IS!H27</f>
        <v>5865.4261339200093</v>
      </c>
      <c r="I88" s="26">
        <f>IS!I27</f>
        <v>6934.2101152150653</v>
      </c>
      <c r="J88" s="26">
        <f>IS!J27</f>
        <v>8081.8267191962295</v>
      </c>
      <c r="K88" s="26">
        <f>IS!K27</f>
        <v>9233.8861343989702</v>
      </c>
      <c r="L88" s="26">
        <f>IS!L27</f>
        <v>10454.443706667662</v>
      </c>
    </row>
    <row r="89" spans="1:12" x14ac:dyDescent="0.35">
      <c r="A89" s="5" t="s">
        <v>311</v>
      </c>
      <c r="B89" s="22"/>
      <c r="C89" s="26">
        <f>-CF!C25</f>
        <v>355</v>
      </c>
      <c r="D89" s="26">
        <f>-CF!D25</f>
        <v>666</v>
      </c>
      <c r="E89" s="26">
        <f>-CF!E25</f>
        <v>888</v>
      </c>
      <c r="F89" s="26">
        <f>-CF!F25</f>
        <v>976</v>
      </c>
      <c r="G89" s="26">
        <f>-CF!G25</f>
        <v>976</v>
      </c>
      <c r="H89" s="53">
        <f>IS!G27*H86</f>
        <v>1369.71</v>
      </c>
      <c r="I89" s="53">
        <f>IS!H27*I86</f>
        <v>1583.6650561584026</v>
      </c>
      <c r="J89" s="53">
        <f>IS!I27*J86</f>
        <v>1872.2367311080677</v>
      </c>
      <c r="K89" s="53">
        <f>IS!J27*K86</f>
        <v>2182.0932141829821</v>
      </c>
      <c r="L89" s="53">
        <f>IS!K27*L86</f>
        <v>2493.149256287722</v>
      </c>
    </row>
    <row r="90" spans="1:12" x14ac:dyDescent="0.35">
      <c r="A90" s="58" t="s">
        <v>312</v>
      </c>
      <c r="B90" s="59"/>
      <c r="C90" s="67">
        <f>BS!C23</f>
        <v>9244</v>
      </c>
      <c r="D90" s="67">
        <f>BS!D23</f>
        <v>11815</v>
      </c>
      <c r="E90" s="67">
        <f>BS!E23</f>
        <v>9304</v>
      </c>
      <c r="F90" s="67">
        <f>BS!F23</f>
        <v>11535</v>
      </c>
      <c r="G90" s="67">
        <f>BS!G23</f>
        <v>15614</v>
      </c>
      <c r="H90" s="60">
        <f>H87+H88-H89</f>
        <v>20109.71613392001</v>
      </c>
      <c r="I90" s="60">
        <f>I87+I88-I89</f>
        <v>25460.261192976672</v>
      </c>
      <c r="J90" s="60">
        <f>J87+J88-J89</f>
        <v>31669.851181064834</v>
      </c>
      <c r="K90" s="60">
        <f>K87+K88-K89</f>
        <v>38721.644101280821</v>
      </c>
      <c r="L90" s="60">
        <f>L87+L88-L89</f>
        <v>46682.938551660758</v>
      </c>
    </row>
    <row r="92" spans="1:12" x14ac:dyDescent="0.35">
      <c r="A92" s="29" t="s">
        <v>313</v>
      </c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</row>
    <row r="93" spans="1:12" x14ac:dyDescent="0.35">
      <c r="A93" s="5" t="s">
        <v>314</v>
      </c>
      <c r="B93" s="22" t="s">
        <v>75</v>
      </c>
      <c r="D93" s="68">
        <f>IS!D27/AVERAGE(BS!C24,BS!D24)</f>
        <v>0.30832980176107738</v>
      </c>
      <c r="E93" s="68">
        <f>IS!E27/AVERAGE(BS!D24,BS!E24)</f>
        <v>0.32830915152368878</v>
      </c>
      <c r="F93" s="68">
        <f>IS!F27/AVERAGE(BS!E24,BS!F24)</f>
        <v>0.31755245753437694</v>
      </c>
      <c r="G93" s="68">
        <f>IS!G27/AVERAGE(BS!F24,BS!G24)</f>
        <v>0.37128115051048416</v>
      </c>
      <c r="H93" s="68">
        <f>IS!H27/AVERAGE(BS!G24,BS!H24)</f>
        <v>0.32674906748417765</v>
      </c>
      <c r="I93" s="68">
        <f>IS!I27/AVERAGE(BS!H24,BS!I24)</f>
        <v>0.30314827104446535</v>
      </c>
      <c r="J93" s="68">
        <f>IS!J27/AVERAGE(BS!I24,BS!J24)</f>
        <v>0.28204826103666969</v>
      </c>
      <c r="K93" s="68">
        <f>IS!K27/AVERAGE(BS!J24,BS!K24)</f>
        <v>0.26169624984434336</v>
      </c>
      <c r="L93" s="68">
        <f>IS!L27/AVERAGE(BS!K24,BS!L24)</f>
        <v>0.2443124145730213</v>
      </c>
    </row>
    <row r="94" spans="1:12" x14ac:dyDescent="0.35">
      <c r="A94" s="5" t="s">
        <v>92</v>
      </c>
      <c r="B94" s="22" t="s">
        <v>75</v>
      </c>
      <c r="D94" s="68">
        <f>IS!D17*(1-IS!D26)/AVERAGE((BS!C24+BS!C25+BS!C27+BS!C26-BS!C17-BS!C16),(BS!D24+BS!D25+BS!D27+BS!D26-BS!D17-BS!D16))</f>
        <v>0.19932735236536211</v>
      </c>
      <c r="E94" s="68">
        <f>IS!E17*(1-IS!E26)/AVERAGE((BS!D24+BS!D25+BS!D27+BS!D26-BS!D17-BS!D16),(BS!E24+BS!E25+BS!E27+BS!E26-BS!E17-BS!E16))</f>
        <v>0.18029922299978093</v>
      </c>
      <c r="F94" s="68">
        <f>IS!F17*(1-IS!F26)/AVERAGE((BS!E24+BS!E25+BS!E27+BS!E26-BS!E17-BS!E16),(BS!F24+BS!F25+BS!F27+BS!F26-BS!F17-BS!F16))</f>
        <v>0.14372074850834496</v>
      </c>
      <c r="G94" s="68">
        <f>IS!G17*(1-IS!G26)/AVERAGE((BS!F24+BS!F25+BS!F27+BS!F26-BS!F17-BS!F16),(BS!G24+BS!G25+BS!G27+BS!G26-BS!G17-BS!G16))</f>
        <v>0.15678912182018712</v>
      </c>
      <c r="H94" s="68">
        <f>IS!H17*(1-IS!H26)/AVERAGE((BS!G24+BS!G25+BS!G27+BS!G26-BS!G17-BS!G16),(BS!H24+BS!H25+BS!H27+BS!H26-BS!H17-BS!H16))</f>
        <v>0.14344825781968082</v>
      </c>
      <c r="I94" s="68">
        <f>IS!I17*(1-IS!I26)/AVERAGE((BS!H24+BS!H25+BS!H27+BS!H26-BS!H17-BS!H16),(BS!I24+BS!I25+BS!I27+BS!I26-BS!I17-BS!I16))</f>
        <v>0.14569084371569652</v>
      </c>
      <c r="J94" s="68">
        <f>IS!J17*(1-IS!J26)/AVERAGE((BS!I24+BS!I25+BS!I27+BS!I26-BS!I17-BS!I16),(BS!J24+BS!J25+BS!J27+BS!J26-BS!J17-BS!J16))</f>
        <v>0.14793128941444583</v>
      </c>
      <c r="K94" s="68">
        <f>IS!K17*(1-IS!K26)/AVERAGE((BS!J24+BS!J25+BS!J27+BS!J26-BS!J17-BS!J16),(BS!K24+BS!K25+BS!K27+BS!K26-BS!K17-BS!K16))</f>
        <v>0.14885010288401282</v>
      </c>
      <c r="L94" s="68">
        <f>IS!L17*(1-IS!L26)/AVERAGE((BS!K24+BS!K25+BS!K27+BS!K26-BS!K17-BS!K16),(BS!L24+BS!L25+BS!L27+BS!L26-BS!L17-BS!L16))</f>
        <v>0.14953586517209769</v>
      </c>
    </row>
    <row r="95" spans="1:12" x14ac:dyDescent="0.35">
      <c r="A95" s="5" t="s">
        <v>315</v>
      </c>
      <c r="B95" s="22"/>
      <c r="C95" s="53">
        <f>BS!C25+BS!C26+BS!C27-BS!C17-BS!C16</f>
        <v>5687</v>
      </c>
      <c r="D95" s="53">
        <f>BS!D25+BS!D26+BS!D27-BS!D17-BS!D16</f>
        <v>5860</v>
      </c>
      <c r="E95" s="53">
        <f>BS!E25+BS!E26+BS!E27-BS!E17-BS!E16</f>
        <v>12336</v>
      </c>
      <c r="F95" s="53">
        <f>BS!F25+BS!F26+BS!F27-BS!F17-BS!F16</f>
        <v>17856</v>
      </c>
      <c r="G95" s="53">
        <f>BS!G25+BS!G26+BS!G27-BS!G17-BS!G16</f>
        <v>26455</v>
      </c>
      <c r="H95" s="53">
        <f>BS!H25+BS!H26+BS!H27-BS!H17-BS!H16</f>
        <v>29025.6808019704</v>
      </c>
      <c r="I95" s="53">
        <f>BS!I25+BS!I26+BS!I27-BS!I17-BS!I16</f>
        <v>30617.665855948253</v>
      </c>
      <c r="J95" s="53">
        <f>BS!J25+BS!J26+BS!J27-BS!J17-BS!J16</f>
        <v>31412.299844474299</v>
      </c>
      <c r="K95" s="53">
        <f>BS!K25+BS!K26+BS!K27-BS!K17-BS!K16</f>
        <v>31689.075054557885</v>
      </c>
      <c r="L95" s="53">
        <f>BS!L25+BS!L26+BS!L27-BS!L17-BS!L16</f>
        <v>31379.18809213541</v>
      </c>
    </row>
    <row r="96" spans="1:12" x14ac:dyDescent="0.35">
      <c r="A96" s="5" t="s">
        <v>89</v>
      </c>
      <c r="B96" s="22" t="s">
        <v>90</v>
      </c>
      <c r="C96" s="69">
        <f>C95/IS!C14</f>
        <v>1.7021849745585154</v>
      </c>
      <c r="D96" s="69">
        <f>D95/IS!D14</f>
        <v>1.2010657921705268</v>
      </c>
      <c r="E96" s="69">
        <f>E95/IS!E14</f>
        <v>2.3310657596371884</v>
      </c>
      <c r="F96" s="69">
        <f>F95/IS!F14</f>
        <v>3.1359325605900947</v>
      </c>
      <c r="G96" s="69">
        <f>G95/IS!G14</f>
        <v>3.1663674446439258</v>
      </c>
      <c r="H96" s="69">
        <f>H95/IS!H14</f>
        <v>2.9255289419705877</v>
      </c>
      <c r="I96" s="69">
        <f>I95/IS!I14</f>
        <v>2.6287021479730277</v>
      </c>
      <c r="J96" s="69">
        <f>J95/IS!J14</f>
        <v>2.3389270008624434</v>
      </c>
      <c r="K96" s="69">
        <f>K95/IS!K14</f>
        <v>2.0858693366350467</v>
      </c>
      <c r="L96" s="69">
        <f>L95/IS!L14</f>
        <v>1.8425422805204175</v>
      </c>
    </row>
    <row r="97" spans="1:12" x14ac:dyDescent="0.35">
      <c r="A97" s="5" t="s">
        <v>316</v>
      </c>
      <c r="B97" s="22" t="s">
        <v>90</v>
      </c>
      <c r="C97" s="69">
        <f>IS!C17/IS!C21</f>
        <v>13.495412844036696</v>
      </c>
      <c r="D97" s="69">
        <f>IS!D17/IS!D21</f>
        <v>14.793333333333333</v>
      </c>
      <c r="E97" s="69">
        <f>IS!E17/IS!E21</f>
        <v>7.6058158319870763</v>
      </c>
      <c r="F97" s="69">
        <f>IS!F17/IS!F21</f>
        <v>5.2476390346274924</v>
      </c>
      <c r="G97" s="69">
        <f>IS!G17/IS!G21</f>
        <v>6.3805084745762715</v>
      </c>
      <c r="H97" s="69">
        <f>IS!H17/IS!H21</f>
        <v>6.2244464281160026</v>
      </c>
      <c r="I97" s="69">
        <f>IS!I17/IS!I21</f>
        <v>6.7361715509648148</v>
      </c>
      <c r="J97" s="69">
        <f>IS!J17/IS!J21</f>
        <v>7.4264889384381698</v>
      </c>
      <c r="K97" s="69">
        <f>IS!K17/IS!K21</f>
        <v>8.2577840266099205</v>
      </c>
      <c r="L97" s="69">
        <f>IS!L17/IS!L21</f>
        <v>9.2717666615872165</v>
      </c>
    </row>
    <row r="98" spans="1:12" x14ac:dyDescent="0.35">
      <c r="A98" s="5" t="s">
        <v>317</v>
      </c>
      <c r="B98" s="22" t="s">
        <v>75</v>
      </c>
      <c r="C98" s="68">
        <f>CF!C17/IS!C14</f>
        <v>-0.21670158635139181</v>
      </c>
      <c r="D98" s="68">
        <f>CF!D17/IS!D14</f>
        <v>0.28079524492723917</v>
      </c>
      <c r="E98" s="68">
        <f>CF!E17/IS!E14</f>
        <v>0.32029478458049887</v>
      </c>
      <c r="F98" s="68">
        <f>CF!F17/IS!F14</f>
        <v>-9.5012293642430634E-2</v>
      </c>
      <c r="G98" s="68">
        <f>CF!G17/IS!G14</f>
        <v>0.66906044284859367</v>
      </c>
      <c r="H98" s="68">
        <f>CF!H17/IS!H14</f>
        <v>0.44689989535284164</v>
      </c>
      <c r="I98" s="68">
        <f>CF!I17/IS!I14</f>
        <v>0.54536741581927262</v>
      </c>
      <c r="J98" s="68">
        <f>CF!J17/IS!J14</f>
        <v>0.57813995353748393</v>
      </c>
      <c r="K98" s="68">
        <f>CF!K17/IS!K14</f>
        <v>0.59357622115495412</v>
      </c>
      <c r="L98" s="68">
        <f>CF!L17/IS!L14</f>
        <v>0.60555299793120854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L39"/>
  <sheetViews>
    <sheetView workbookViewId="0">
      <pane xSplit="2" ySplit="4" topLeftCell="C33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0" customWidth="1"/>
    <col min="2" max="2" width="11" customWidth="1"/>
    <col min="3" max="12" width="13" customWidth="1"/>
  </cols>
  <sheetData>
    <row r="1" spans="1:12" ht="19.5" x14ac:dyDescent="0.45">
      <c r="A1" s="9" t="s">
        <v>318</v>
      </c>
    </row>
    <row r="2" spans="1:12" x14ac:dyDescent="0.35">
      <c r="A2" s="10" t="s">
        <v>319</v>
      </c>
    </row>
    <row r="4" spans="1:12" x14ac:dyDescent="0.35">
      <c r="A4" s="18" t="s">
        <v>156</v>
      </c>
      <c r="B4" s="19" t="s">
        <v>61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1" t="s">
        <v>67</v>
      </c>
      <c r="I4" s="21" t="s">
        <v>68</v>
      </c>
      <c r="J4" s="21" t="s">
        <v>69</v>
      </c>
      <c r="K4" s="21" t="s">
        <v>70</v>
      </c>
      <c r="L4" s="21" t="s">
        <v>71</v>
      </c>
    </row>
    <row r="5" spans="1:12" x14ac:dyDescent="0.35">
      <c r="A5" s="29" t="s">
        <v>320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35">
      <c r="A6" s="5" t="s">
        <v>321</v>
      </c>
      <c r="B6" s="22"/>
      <c r="C6" s="26">
        <f>IS!C27</f>
        <v>2198</v>
      </c>
      <c r="D6" s="26">
        <f>IS!D27</f>
        <v>3274</v>
      </c>
      <c r="E6" s="26">
        <f>IS!E27</f>
        <v>3496</v>
      </c>
      <c r="F6" s="26">
        <f>IS!F27</f>
        <v>3337</v>
      </c>
      <c r="G6" s="26">
        <f>IS!G27</f>
        <v>5073</v>
      </c>
      <c r="H6" s="26">
        <f>IS!H27</f>
        <v>5865.4261339200093</v>
      </c>
      <c r="I6" s="26">
        <f>IS!I27</f>
        <v>6934.2101152150653</v>
      </c>
      <c r="J6" s="26">
        <f>IS!J27</f>
        <v>8081.8267191962295</v>
      </c>
      <c r="K6" s="26">
        <f>IS!K27</f>
        <v>9233.8861343989702</v>
      </c>
      <c r="L6" s="26">
        <f>IS!L27</f>
        <v>10454.443706667662</v>
      </c>
    </row>
    <row r="7" spans="1:12" x14ac:dyDescent="0.35">
      <c r="A7" s="5" t="s">
        <v>322</v>
      </c>
      <c r="B7" s="22"/>
      <c r="C7" s="26">
        <f>CF!C17</f>
        <v>-724</v>
      </c>
      <c r="D7" s="26">
        <f>CF!D17</f>
        <v>1370</v>
      </c>
      <c r="E7" s="26">
        <f>CF!E17</f>
        <v>1695</v>
      </c>
      <c r="F7" s="26">
        <f>CF!F17</f>
        <v>-541</v>
      </c>
      <c r="G7" s="26">
        <f>CF!G17</f>
        <v>5590</v>
      </c>
      <c r="H7" s="26">
        <f>CF!H17</f>
        <v>4433.9242476295994</v>
      </c>
      <c r="I7" s="26">
        <f>CF!I17</f>
        <v>6352.1374299298541</v>
      </c>
      <c r="J7" s="26">
        <f>CF!J17</f>
        <v>7764.5456937704348</v>
      </c>
      <c r="K7" s="26">
        <f>CF!K17</f>
        <v>9017.7659225407424</v>
      </c>
      <c r="L7" s="26">
        <f>CF!L17</f>
        <v>10312.795327808119</v>
      </c>
    </row>
    <row r="8" spans="1:12" x14ac:dyDescent="0.35">
      <c r="A8" s="4" t="s">
        <v>323</v>
      </c>
      <c r="B8" s="22"/>
      <c r="C8" s="50">
        <f t="shared" ref="C8:L8" si="0">C6-C7</f>
        <v>2922</v>
      </c>
      <c r="D8" s="50">
        <f t="shared" si="0"/>
        <v>1904</v>
      </c>
      <c r="E8" s="50">
        <f t="shared" si="0"/>
        <v>1801</v>
      </c>
      <c r="F8" s="50">
        <f t="shared" si="0"/>
        <v>3878</v>
      </c>
      <c r="G8" s="50">
        <f t="shared" si="0"/>
        <v>-517</v>
      </c>
      <c r="H8" s="50">
        <f t="shared" si="0"/>
        <v>1431.5018862904099</v>
      </c>
      <c r="I8" s="50">
        <f t="shared" si="0"/>
        <v>582.07268528521126</v>
      </c>
      <c r="J8" s="50">
        <f t="shared" si="0"/>
        <v>317.28102542579472</v>
      </c>
      <c r="K8" s="50">
        <f t="shared" si="0"/>
        <v>216.12021185822778</v>
      </c>
      <c r="L8" s="50">
        <f t="shared" si="0"/>
        <v>141.6483788595433</v>
      </c>
    </row>
    <row r="9" spans="1:12" x14ac:dyDescent="0.35">
      <c r="A9" s="62" t="s">
        <v>324</v>
      </c>
      <c r="B9" s="22" t="s">
        <v>75</v>
      </c>
      <c r="D9" s="52">
        <f>D8/AVERAGE(BS!C19,BS!D19)</f>
        <v>7.8976294667855731E-2</v>
      </c>
      <c r="E9" s="52">
        <f>E8/AVERAGE(BS!D19,BS!E19)</f>
        <v>6.1495911085312348E-2</v>
      </c>
      <c r="F9" s="52">
        <f>F8/AVERAGE(BS!E19,BS!F19)</f>
        <v>0.10742828649389864</v>
      </c>
      <c r="G9" s="52">
        <f>G8/AVERAGE(BS!F19,BS!G19)</f>
        <v>-1.0216583669275156E-2</v>
      </c>
      <c r="H9" s="52">
        <f>H8/AVERAGE(BS!G19,BS!H19)</f>
        <v>2.188886518718506E-2</v>
      </c>
      <c r="I9" s="52">
        <f>I8/AVERAGE(BS!H19,BS!I19)</f>
        <v>7.7322483141421504E-3</v>
      </c>
      <c r="J9" s="52">
        <f>J8/AVERAGE(BS!I19,BS!J19)</f>
        <v>3.7157489920440984E-3</v>
      </c>
      <c r="K9" s="52">
        <f>K8/AVERAGE(BS!J19,BS!K19)</f>
        <v>2.257088028910976E-3</v>
      </c>
      <c r="L9" s="52">
        <f>L8/AVERAGE(BS!K19,BS!L19)</f>
        <v>1.3293798423164346E-3</v>
      </c>
    </row>
    <row r="10" spans="1:12" x14ac:dyDescent="0.35">
      <c r="A10" s="5" t="s">
        <v>325</v>
      </c>
      <c r="B10" s="22" t="s">
        <v>90</v>
      </c>
      <c r="C10" s="70">
        <f t="shared" ref="C10:L10" si="1">C7/C6</f>
        <v>-0.3293903548680619</v>
      </c>
      <c r="D10" s="70">
        <f t="shared" si="1"/>
        <v>0.4184483811850947</v>
      </c>
      <c r="E10" s="70">
        <f t="shared" si="1"/>
        <v>0.48483981693363842</v>
      </c>
      <c r="F10" s="70">
        <f t="shared" si="1"/>
        <v>-0.16212166616721607</v>
      </c>
      <c r="G10" s="70">
        <f t="shared" si="1"/>
        <v>1.1019120835797358</v>
      </c>
      <c r="H10" s="70">
        <f t="shared" si="1"/>
        <v>0.75594238958837556</v>
      </c>
      <c r="I10" s="70">
        <f t="shared" si="1"/>
        <v>0.91605782409044323</v>
      </c>
      <c r="J10" s="70">
        <f t="shared" si="1"/>
        <v>0.96074142190252876</v>
      </c>
      <c r="K10" s="70">
        <f t="shared" si="1"/>
        <v>0.97659488012819262</v>
      </c>
      <c r="L10" s="70">
        <f t="shared" si="1"/>
        <v>0.98645089276541775</v>
      </c>
    </row>
    <row r="11" spans="1:12" x14ac:dyDescent="0.35">
      <c r="A11" s="5" t="s">
        <v>326</v>
      </c>
      <c r="B11" s="22" t="s">
        <v>75</v>
      </c>
      <c r="C11" s="68">
        <f>C7/IS!C14</f>
        <v>-0.21670158635139181</v>
      </c>
      <c r="D11" s="68">
        <f>D7/IS!D14</f>
        <v>0.28079524492723917</v>
      </c>
      <c r="E11" s="68">
        <f>E7/IS!E14</f>
        <v>0.32029478458049887</v>
      </c>
      <c r="F11" s="68">
        <f>F7/IS!F14</f>
        <v>-9.5012293642430634E-2</v>
      </c>
      <c r="G11" s="68">
        <f>G7/IS!G14</f>
        <v>0.66906044284859367</v>
      </c>
      <c r="H11" s="68">
        <f>H7/IS!H14</f>
        <v>0.44689989535284164</v>
      </c>
      <c r="I11" s="68">
        <f>I7/IS!I14</f>
        <v>0.54536741581927262</v>
      </c>
      <c r="J11" s="68">
        <f>J7/IS!J14</f>
        <v>0.57813995353748393</v>
      </c>
      <c r="K11" s="68">
        <f>K7/IS!K14</f>
        <v>0.59357622115495412</v>
      </c>
      <c r="L11" s="68">
        <f>L7/IS!L14</f>
        <v>0.60555299793120854</v>
      </c>
    </row>
    <row r="13" spans="1:12" x14ac:dyDescent="0.35">
      <c r="A13" s="29" t="s">
        <v>327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2" x14ac:dyDescent="0.35">
      <c r="A14" s="5" t="s">
        <v>93</v>
      </c>
      <c r="B14" s="22" t="s">
        <v>94</v>
      </c>
      <c r="C14" s="28">
        <f>Schedules!C8</f>
        <v>229.53121389954254</v>
      </c>
      <c r="D14" s="28">
        <f>Schedules!D8</f>
        <v>199.41228792620655</v>
      </c>
      <c r="E14" s="28">
        <f>Schedules!E8</f>
        <v>176.34446642320958</v>
      </c>
      <c r="F14" s="28">
        <f>Schedules!F8</f>
        <v>216.77258934592041</v>
      </c>
      <c r="G14" s="28">
        <f>Schedules!G8</f>
        <v>221.90101981310539</v>
      </c>
      <c r="H14" s="28">
        <f>Schedules!H8</f>
        <v>220</v>
      </c>
      <c r="I14" s="28">
        <f>Schedules!I8</f>
        <v>220</v>
      </c>
      <c r="J14" s="28">
        <f>Schedules!J8</f>
        <v>220</v>
      </c>
      <c r="K14" s="28">
        <f>Schedules!K8</f>
        <v>220</v>
      </c>
      <c r="L14" s="28">
        <f>Schedules!L8</f>
        <v>220</v>
      </c>
    </row>
    <row r="15" spans="1:12" x14ac:dyDescent="0.35">
      <c r="A15" s="5" t="s">
        <v>328</v>
      </c>
      <c r="B15" s="22" t="s">
        <v>94</v>
      </c>
      <c r="C15" s="28">
        <f>Schedules!C9</f>
        <v>7.160838918017987</v>
      </c>
      <c r="D15" s="28">
        <f>Schedules!D9</f>
        <v>6.0630930375847196</v>
      </c>
      <c r="E15" s="28">
        <f>Schedules!E9</f>
        <v>7.2737060527758199</v>
      </c>
      <c r="F15" s="28">
        <f>Schedules!F9</f>
        <v>6.4479952362048429</v>
      </c>
      <c r="G15" s="28">
        <f>Schedules!G9</f>
        <v>3.8173639020825725</v>
      </c>
      <c r="H15" s="28">
        <f>Schedules!H9</f>
        <v>4</v>
      </c>
      <c r="I15" s="28">
        <f>Schedules!I9</f>
        <v>4</v>
      </c>
      <c r="J15" s="28">
        <f>Schedules!J9</f>
        <v>4</v>
      </c>
      <c r="K15" s="28">
        <f>Schedules!K9</f>
        <v>4</v>
      </c>
      <c r="L15" s="28">
        <f>Schedules!L9</f>
        <v>4</v>
      </c>
    </row>
    <row r="16" spans="1:12" x14ac:dyDescent="0.35">
      <c r="A16" s="5" t="s">
        <v>329</v>
      </c>
      <c r="B16" s="22" t="s">
        <v>94</v>
      </c>
      <c r="C16" s="28">
        <f>Schedules!C10</f>
        <v>21.824777043574695</v>
      </c>
      <c r="D16" s="28">
        <f>Schedules!D10</f>
        <v>14.597595124361719</v>
      </c>
      <c r="E16" s="28">
        <f>Schedules!E10</f>
        <v>13.051582471089471</v>
      </c>
      <c r="F16" s="28">
        <f>Schedules!F10</f>
        <v>15.098090863115308</v>
      </c>
      <c r="G16" s="28">
        <f>Schedules!G10</f>
        <v>14.868505269745546</v>
      </c>
      <c r="H16" s="28">
        <f>Schedules!H10</f>
        <v>15</v>
      </c>
      <c r="I16" s="28">
        <f>Schedules!I10</f>
        <v>15</v>
      </c>
      <c r="J16" s="28">
        <f>Schedules!J10</f>
        <v>15</v>
      </c>
      <c r="K16" s="28">
        <f>Schedules!K10</f>
        <v>15</v>
      </c>
      <c r="L16" s="28">
        <f>Schedules!L10</f>
        <v>15</v>
      </c>
    </row>
    <row r="17" spans="1:12" x14ac:dyDescent="0.35">
      <c r="A17" s="58" t="s">
        <v>330</v>
      </c>
      <c r="B17" s="59" t="s">
        <v>94</v>
      </c>
      <c r="C17" s="71">
        <f t="shared" ref="C17:L17" si="2">C14+C15-C16</f>
        <v>214.86727577398582</v>
      </c>
      <c r="D17" s="71">
        <f t="shared" si="2"/>
        <v>190.87778583942952</v>
      </c>
      <c r="E17" s="71">
        <f t="shared" si="2"/>
        <v>170.56659000489594</v>
      </c>
      <c r="F17" s="71">
        <f t="shared" si="2"/>
        <v>208.12249371900992</v>
      </c>
      <c r="G17" s="71">
        <f t="shared" si="2"/>
        <v>210.84987844544241</v>
      </c>
      <c r="H17" s="71">
        <f t="shared" si="2"/>
        <v>209</v>
      </c>
      <c r="I17" s="71">
        <f t="shared" si="2"/>
        <v>209</v>
      </c>
      <c r="J17" s="71">
        <f t="shared" si="2"/>
        <v>209</v>
      </c>
      <c r="K17" s="71">
        <f t="shared" si="2"/>
        <v>209</v>
      </c>
      <c r="L17" s="71">
        <f t="shared" si="2"/>
        <v>209</v>
      </c>
    </row>
    <row r="19" spans="1:12" x14ac:dyDescent="0.35">
      <c r="A19" s="29" t="s">
        <v>331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</row>
    <row r="20" spans="1:12" x14ac:dyDescent="0.35">
      <c r="A20" s="5" t="s">
        <v>332</v>
      </c>
      <c r="B20" s="22" t="s">
        <v>75</v>
      </c>
      <c r="C20" s="24">
        <f>IS!C28</f>
        <v>7.632209451717073E-2</v>
      </c>
      <c r="D20" s="24">
        <f>IS!D28</f>
        <v>8.0690080098582875E-2</v>
      </c>
      <c r="E20" s="24">
        <f>IS!E28</f>
        <v>6.8436300994440535E-2</v>
      </c>
      <c r="F20" s="24">
        <f>IS!F28</f>
        <v>5.5197168188434564E-2</v>
      </c>
      <c r="G20" s="24">
        <f>IS!G28</f>
        <v>5.792153818048959E-2</v>
      </c>
      <c r="H20" s="24">
        <f>IS!H28</f>
        <v>5.6753517919843045E-2</v>
      </c>
      <c r="I20" s="24">
        <f>IS!I28</f>
        <v>5.8343485907513974E-2</v>
      </c>
      <c r="J20" s="24">
        <f>IS!J28</f>
        <v>6.0176436693299869E-2</v>
      </c>
      <c r="K20" s="24">
        <f>IS!K28</f>
        <v>6.1387991639666205E-2</v>
      </c>
      <c r="L20" s="24">
        <f>IS!L28</f>
        <v>6.2614780159838693E-2</v>
      </c>
    </row>
    <row r="21" spans="1:12" x14ac:dyDescent="0.35">
      <c r="A21" s="5" t="s">
        <v>333</v>
      </c>
      <c r="B21" s="22" t="s">
        <v>90</v>
      </c>
      <c r="D21" s="70">
        <f>IS!D5/AVERAGE(BS!C19,BS!D19)</f>
        <v>1.6830163635232387</v>
      </c>
      <c r="E21" s="70">
        <f>IS!E5/AVERAGE(BS!D19,BS!E19)</f>
        <v>1.7442849094292592</v>
      </c>
      <c r="F21" s="70">
        <f>IS!F5/AVERAGE(BS!E19,BS!F19)</f>
        <v>1.6747510284360847</v>
      </c>
      <c r="G21" s="70">
        <f>IS!G5/AVERAGE(BS!F19,BS!G19)</f>
        <v>1.7307722709667219</v>
      </c>
      <c r="H21" s="70">
        <f>IS!H5/AVERAGE(BS!G19,BS!H19)</f>
        <v>1.5802947775056426</v>
      </c>
      <c r="I21" s="70">
        <f>IS!I5/AVERAGE(BS!H19,BS!I19)</f>
        <v>1.5788220972282663</v>
      </c>
      <c r="J21" s="70">
        <f>IS!J5/AVERAGE(BS!I19,BS!J19)</f>
        <v>1.5728428595605277</v>
      </c>
      <c r="K21" s="70">
        <f>IS!K5/AVERAGE(BS!J19,BS!K19)</f>
        <v>1.5709204825587952</v>
      </c>
      <c r="L21" s="70">
        <f>IS!L5/AVERAGE(BS!K19,BS!L19)</f>
        <v>1.5669731288275184</v>
      </c>
    </row>
    <row r="22" spans="1:12" x14ac:dyDescent="0.35">
      <c r="A22" s="5" t="s">
        <v>334</v>
      </c>
      <c r="B22" s="22" t="s">
        <v>90</v>
      </c>
      <c r="D22" s="70">
        <f>AVERAGE(BS!C19,BS!D19)/AVERAGE(BS!C24,BS!D24)</f>
        <v>2.270424259547017</v>
      </c>
      <c r="E22" s="70">
        <f>AVERAGE(BS!D19,BS!E19)/AVERAGE(BS!D24,BS!E24)</f>
        <v>2.7502934685636475</v>
      </c>
      <c r="F22" s="70">
        <f>AVERAGE(BS!E19,BS!F19)/AVERAGE(BS!E24,BS!F24)</f>
        <v>3.4351715278108199</v>
      </c>
      <c r="G22" s="70">
        <f>AVERAGE(BS!F19,BS!G19)/AVERAGE(BS!F24,BS!G24)</f>
        <v>3.7035898561861895</v>
      </c>
      <c r="H22" s="70">
        <f>AVERAGE(BS!G19,BS!H19)/AVERAGE(BS!G24,BS!H24)</f>
        <v>3.6432037902587311</v>
      </c>
      <c r="I22" s="70">
        <f>AVERAGE(BS!H19,BS!I19)/AVERAGE(BS!H24,BS!I24)</f>
        <v>3.2910124534089946</v>
      </c>
      <c r="J22" s="70">
        <f>AVERAGE(BS!I19,BS!J19)/AVERAGE(BS!I24,BS!J24)</f>
        <v>2.9799681590097653</v>
      </c>
      <c r="K22" s="70">
        <f>AVERAGE(BS!J19,BS!K19)/AVERAGE(BS!J24,BS!K24)</f>
        <v>2.7136877335548917</v>
      </c>
      <c r="L22" s="70">
        <f>AVERAGE(BS!K19,BS!L19)/AVERAGE(BS!K24,BS!L24)</f>
        <v>2.4900446045740745</v>
      </c>
    </row>
    <row r="23" spans="1:12" x14ac:dyDescent="0.35">
      <c r="A23" s="58" t="s">
        <v>335</v>
      </c>
      <c r="B23" s="59" t="s">
        <v>75</v>
      </c>
      <c r="C23" s="72"/>
      <c r="D23" s="73">
        <f t="shared" ref="D23:L23" si="3">D20*D21*D22</f>
        <v>0.30832980176107738</v>
      </c>
      <c r="E23" s="73">
        <f t="shared" si="3"/>
        <v>0.32830915152368878</v>
      </c>
      <c r="F23" s="73">
        <f t="shared" si="3"/>
        <v>0.317552457534377</v>
      </c>
      <c r="G23" s="73">
        <f t="shared" si="3"/>
        <v>0.37128115051048416</v>
      </c>
      <c r="H23" s="73">
        <f t="shared" si="3"/>
        <v>0.32674906748417759</v>
      </c>
      <c r="I23" s="73">
        <f t="shared" si="3"/>
        <v>0.30314827104446535</v>
      </c>
      <c r="J23" s="73">
        <f t="shared" si="3"/>
        <v>0.28204826103666969</v>
      </c>
      <c r="K23" s="73">
        <f t="shared" si="3"/>
        <v>0.26169624984434336</v>
      </c>
      <c r="L23" s="73">
        <f t="shared" si="3"/>
        <v>0.24431241457302127</v>
      </c>
    </row>
    <row r="25" spans="1:12" x14ac:dyDescent="0.35">
      <c r="A25" s="29" t="s">
        <v>336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</row>
    <row r="26" spans="1:12" x14ac:dyDescent="0.35">
      <c r="A26" s="5" t="s">
        <v>337</v>
      </c>
      <c r="B26" s="22"/>
      <c r="C26" s="26">
        <f>Schedules!C63</f>
        <v>518</v>
      </c>
      <c r="D26" s="26">
        <f>Schedules!D63</f>
        <v>2195</v>
      </c>
      <c r="E26" s="26">
        <f>Schedules!E63</f>
        <v>7838</v>
      </c>
      <c r="F26" s="26">
        <f>Schedules!F63</f>
        <v>10286</v>
      </c>
      <c r="G26" s="26">
        <f>Schedules!G63</f>
        <v>11378</v>
      </c>
      <c r="H26" s="26">
        <f>Schedules!H63</f>
        <v>11691.929592370401</v>
      </c>
      <c r="I26" s="26">
        <f>Schedules!I63</f>
        <v>10842.989050834831</v>
      </c>
      <c r="J26" s="26">
        <f>Schedules!J63</f>
        <v>9145.4513959531705</v>
      </c>
      <c r="K26" s="26">
        <f>Schedules!K63</f>
        <v>6791.3957781672852</v>
      </c>
      <c r="L26" s="26">
        <f>Schedules!L63</f>
        <v>3715.3909560523525</v>
      </c>
    </row>
    <row r="27" spans="1:12" x14ac:dyDescent="0.35">
      <c r="A27" s="5" t="s">
        <v>338</v>
      </c>
      <c r="B27" s="22"/>
      <c r="C27" s="26">
        <f>Schedules!C95</f>
        <v>5687</v>
      </c>
      <c r="D27" s="26">
        <f>Schedules!D95</f>
        <v>5860</v>
      </c>
      <c r="E27" s="26">
        <f>Schedules!E95</f>
        <v>12336</v>
      </c>
      <c r="F27" s="26">
        <f>Schedules!F95</f>
        <v>17856</v>
      </c>
      <c r="G27" s="26">
        <f>Schedules!G95</f>
        <v>26455</v>
      </c>
      <c r="H27" s="26">
        <f>Schedules!H95</f>
        <v>29025.6808019704</v>
      </c>
      <c r="I27" s="26">
        <f>Schedules!I95</f>
        <v>30617.665855948253</v>
      </c>
      <c r="J27" s="26">
        <f>Schedules!J95</f>
        <v>31412.299844474299</v>
      </c>
      <c r="K27" s="26">
        <f>Schedules!K95</f>
        <v>31689.075054557885</v>
      </c>
      <c r="L27" s="26">
        <f>Schedules!L95</f>
        <v>31379.18809213541</v>
      </c>
    </row>
    <row r="28" spans="1:12" x14ac:dyDescent="0.35">
      <c r="A28" s="5" t="s">
        <v>339</v>
      </c>
      <c r="B28" s="22"/>
      <c r="C28" s="26">
        <f>IS!C14</f>
        <v>3341</v>
      </c>
      <c r="D28" s="26">
        <f>IS!D14</f>
        <v>4879</v>
      </c>
      <c r="E28" s="26">
        <f>IS!E14</f>
        <v>5292</v>
      </c>
      <c r="F28" s="26">
        <f>IS!F14</f>
        <v>5694</v>
      </c>
      <c r="G28" s="26">
        <f>IS!G14</f>
        <v>8355</v>
      </c>
      <c r="H28" s="26">
        <f>IS!H14</f>
        <v>9921.5155200000117</v>
      </c>
      <c r="I28" s="26">
        <f>IS!I14</f>
        <v>11647.445823999993</v>
      </c>
      <c r="J28" s="26">
        <f>IS!J14</f>
        <v>13430.218144000002</v>
      </c>
      <c r="K28" s="26">
        <f>IS!K14</f>
        <v>15192.262764492783</v>
      </c>
      <c r="L28" s="26">
        <f>IS!L14</f>
        <v>17030.376140553206</v>
      </c>
    </row>
    <row r="29" spans="1:12" x14ac:dyDescent="0.35">
      <c r="A29" s="5" t="s">
        <v>340</v>
      </c>
      <c r="B29" s="22" t="s">
        <v>90</v>
      </c>
      <c r="C29" s="27">
        <f>Schedules!C96</f>
        <v>1.7021849745585154</v>
      </c>
      <c r="D29" s="27">
        <f>Schedules!D96</f>
        <v>1.2010657921705268</v>
      </c>
      <c r="E29" s="27">
        <f>Schedules!E96</f>
        <v>2.3310657596371884</v>
      </c>
      <c r="F29" s="27">
        <f>Schedules!F96</f>
        <v>3.1359325605900947</v>
      </c>
      <c r="G29" s="27">
        <f>Schedules!G96</f>
        <v>3.1663674446439258</v>
      </c>
      <c r="H29" s="27">
        <f>Schedules!H96</f>
        <v>2.9255289419705877</v>
      </c>
      <c r="I29" s="27">
        <f>Schedules!I96</f>
        <v>2.6287021479730277</v>
      </c>
      <c r="J29" s="27">
        <f>Schedules!J96</f>
        <v>2.3389270008624434</v>
      </c>
      <c r="K29" s="27">
        <f>Schedules!K96</f>
        <v>2.0858693366350467</v>
      </c>
      <c r="L29" s="27">
        <f>Schedules!L96</f>
        <v>1.8425422805204175</v>
      </c>
    </row>
    <row r="30" spans="1:12" x14ac:dyDescent="0.35">
      <c r="A30" s="5" t="s">
        <v>79</v>
      </c>
      <c r="B30" s="22"/>
      <c r="C30" s="26">
        <f>IS!C17</f>
        <v>2942</v>
      </c>
      <c r="D30" s="26">
        <f>IS!D17</f>
        <v>4438</v>
      </c>
      <c r="E30" s="26">
        <f>IS!E17</f>
        <v>4708</v>
      </c>
      <c r="F30" s="26">
        <f>IS!F17</f>
        <v>5001</v>
      </c>
      <c r="G30" s="26">
        <f>IS!G17</f>
        <v>7529</v>
      </c>
      <c r="H30" s="26">
        <f>IS!H17</f>
        <v>8785.9555200000123</v>
      </c>
      <c r="I30" s="26">
        <f>IS!I17</f>
        <v>10291.253962239993</v>
      </c>
      <c r="J30" s="26">
        <f>IS!J17</f>
        <v>11832.329601740803</v>
      </c>
      <c r="K30" s="26">
        <f>IS!K17</f>
        <v>13335.739128078832</v>
      </c>
      <c r="L30" s="26">
        <f>IS!L17</f>
        <v>14898.547476683971</v>
      </c>
    </row>
    <row r="31" spans="1:12" x14ac:dyDescent="0.35">
      <c r="A31" s="5" t="s">
        <v>341</v>
      </c>
      <c r="B31" s="22"/>
      <c r="C31" s="26">
        <f>IS!C21</f>
        <v>218</v>
      </c>
      <c r="D31" s="26">
        <f>IS!D21</f>
        <v>300</v>
      </c>
      <c r="E31" s="26">
        <f>IS!E21</f>
        <v>619</v>
      </c>
      <c r="F31" s="26">
        <f>IS!F21</f>
        <v>953</v>
      </c>
      <c r="G31" s="26">
        <f>IS!G21</f>
        <v>1180</v>
      </c>
      <c r="H31" s="26">
        <f>IS!H21</f>
        <v>1411.5239999999999</v>
      </c>
      <c r="I31" s="26">
        <f>IS!I21</f>
        <v>1527.7600762358832</v>
      </c>
      <c r="J31" s="26">
        <f>IS!J21</f>
        <v>1593.2602471807095</v>
      </c>
      <c r="K31" s="26">
        <f>IS!K21</f>
        <v>1614.9295119738767</v>
      </c>
      <c r="L31" s="26">
        <f>IS!L21</f>
        <v>1606.8725649026974</v>
      </c>
    </row>
    <row r="32" spans="1:12" x14ac:dyDescent="0.35">
      <c r="A32" s="5" t="s">
        <v>342</v>
      </c>
      <c r="B32" s="22" t="s">
        <v>90</v>
      </c>
      <c r="C32" s="27">
        <f>Schedules!C97</f>
        <v>13.495412844036696</v>
      </c>
      <c r="D32" s="27">
        <f>Schedules!D97</f>
        <v>14.793333333333333</v>
      </c>
      <c r="E32" s="27">
        <f>Schedules!E97</f>
        <v>7.6058158319870763</v>
      </c>
      <c r="F32" s="27">
        <f>Schedules!F97</f>
        <v>5.2476390346274924</v>
      </c>
      <c r="G32" s="27">
        <f>Schedules!G97</f>
        <v>6.3805084745762715</v>
      </c>
      <c r="H32" s="27">
        <f>Schedules!H97</f>
        <v>6.2244464281160026</v>
      </c>
      <c r="I32" s="27">
        <f>Schedules!I97</f>
        <v>6.7361715509648148</v>
      </c>
      <c r="J32" s="27">
        <f>Schedules!J97</f>
        <v>7.4264889384381698</v>
      </c>
      <c r="K32" s="27">
        <f>Schedules!K97</f>
        <v>8.2577840266099205</v>
      </c>
      <c r="L32" s="27">
        <f>Schedules!L97</f>
        <v>9.2717666615872165</v>
      </c>
    </row>
    <row r="33" spans="1:12" x14ac:dyDescent="0.35">
      <c r="A33" s="4" t="s">
        <v>343</v>
      </c>
      <c r="B33" s="22" t="s">
        <v>344</v>
      </c>
      <c r="C33" s="74">
        <f>3.25 + 6.56*(BS!C18-BS!C25-BS!C28)/BS!C19 + 3.26*(IS!C17/BS!C19) + 6.72*(IS!C27/BS!C19) + 1.05*(BS!C24/BS!C33)</f>
        <v>10.067195755127035</v>
      </c>
      <c r="D33" s="74">
        <f>3.25 + 6.56*(BS!D18-BS!D25-BS!D28)/BS!D19 + 3.26*(IS!D17/BS!D19) + 6.72*(IS!D27/BS!D19) + 1.05*(BS!D24/BS!D33)</f>
        <v>10.03816307882272</v>
      </c>
      <c r="E33" s="74">
        <f>3.25 + 6.56*(BS!E18-BS!E25-BS!E28)/BS!E19 + 3.26*(IS!E17/BS!E19) + 6.72*(IS!E27/BS!E19) + 1.05*(BS!E24/BS!E33)</f>
        <v>8.3278610346406321</v>
      </c>
      <c r="F33" s="74">
        <f>3.25 + 6.56*(BS!F18-BS!F25-BS!F28)/BS!F19 + 3.26*(IS!F17/BS!F19) + 6.72*(IS!F27/BS!F19) + 1.05*(BS!F24/BS!F33)</f>
        <v>8.2037482206429431</v>
      </c>
      <c r="G33" s="74">
        <f>3.25 + 6.56*(BS!G18-BS!G25-BS!G28)/BS!G19 + 3.26*(IS!G17/BS!G19) + 6.72*(IS!G27/BS!G19) + 1.05*(BS!G24/BS!G33)</f>
        <v>8.5436862819411576</v>
      </c>
      <c r="H33" s="74">
        <f>3.25 + 6.56*(BS!H18-BS!H25-BS!H28)/BS!H19 + 3.26*(IS!H17/BS!H19) + 6.72*(IS!H27/BS!H19) + 1.05*(BS!H24/BS!H33)</f>
        <v>8.7725431795614011</v>
      </c>
      <c r="I33" s="74">
        <f>3.25 + 6.56*(BS!I18-BS!I25-BS!I28)/BS!I19 + 3.26*(IS!I17/BS!I19) + 6.72*(IS!I27/BS!I19) + 1.05*(BS!I24/BS!I33)</f>
        <v>9.0976336670306157</v>
      </c>
      <c r="J33" s="74">
        <f>3.25 + 6.56*(BS!J18-BS!J25-BS!J28)/BS!J19 + 3.26*(IS!J17/BS!J19) + 6.72*(IS!J27/BS!J19) + 1.05*(BS!J24/BS!J33)</f>
        <v>9.4396322766212037</v>
      </c>
      <c r="K33" s="74">
        <f>3.25 + 6.56*(BS!K18-BS!K25-BS!K28)/BS!K19 + 3.26*(IS!K17/BS!K19) + 6.72*(IS!K27/BS!K19) + 1.05*(BS!K24/BS!K33)</f>
        <v>9.7742555284137769</v>
      </c>
      <c r="L33" s="74">
        <f>3.25 + 6.56*(BS!L18-BS!L25-BS!L28)/BS!L19 + 3.26*(IS!L17/BS!L19) + 6.72*(IS!L27/BS!L19) + 1.05*(BS!L24/BS!L33)</f>
        <v>10.116233071965558</v>
      </c>
    </row>
    <row r="35" spans="1:12" x14ac:dyDescent="0.35">
      <c r="A35" s="29" t="s">
        <v>345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</row>
    <row r="36" spans="1:12" x14ac:dyDescent="0.35">
      <c r="A36" s="5" t="s">
        <v>346</v>
      </c>
      <c r="B36" s="22"/>
      <c r="C36" s="26">
        <f>Schedules!C32</f>
        <v>224</v>
      </c>
      <c r="D36" s="26">
        <f>Schedules!D32</f>
        <v>432</v>
      </c>
      <c r="E36" s="26">
        <f>Schedules!E32</f>
        <v>691</v>
      </c>
      <c r="F36" s="26">
        <f>Schedules!F32</f>
        <v>494</v>
      </c>
      <c r="G36" s="26">
        <f>Schedules!G32</f>
        <v>902</v>
      </c>
      <c r="H36" s="26">
        <f>Schedules!H32</f>
        <v>1240.1894399999999</v>
      </c>
      <c r="I36" s="26">
        <f>Schedules!I32</f>
        <v>1426.2178559999998</v>
      </c>
      <c r="J36" s="26">
        <f>Schedules!J32</f>
        <v>1611.6261772799994</v>
      </c>
      <c r="K36" s="26">
        <f>Schedules!K32</f>
        <v>1805.0213185535995</v>
      </c>
      <c r="L36" s="26">
        <f>Schedules!L32</f>
        <v>2003.5736635944957</v>
      </c>
    </row>
    <row r="37" spans="1:12" x14ac:dyDescent="0.35">
      <c r="A37" s="5" t="s">
        <v>347</v>
      </c>
      <c r="B37" s="22"/>
      <c r="C37" s="26">
        <f>IS!C16</f>
        <v>399</v>
      </c>
      <c r="D37" s="26">
        <f>IS!D16</f>
        <v>441</v>
      </c>
      <c r="E37" s="26">
        <f>IS!E16</f>
        <v>584</v>
      </c>
      <c r="F37" s="26">
        <f>IS!F16</f>
        <v>693</v>
      </c>
      <c r="G37" s="26">
        <f>IS!G16</f>
        <v>826</v>
      </c>
      <c r="H37" s="26">
        <f>IS!H16</f>
        <v>1135.56</v>
      </c>
      <c r="I37" s="26">
        <f>IS!I16</f>
        <v>1356.1918617599999</v>
      </c>
      <c r="J37" s="26">
        <f>IS!J16</f>
        <v>1597.8885422591998</v>
      </c>
      <c r="K37" s="26">
        <f>IS!K16</f>
        <v>1856.5236364139519</v>
      </c>
      <c r="L37" s="26">
        <f>IS!L16</f>
        <v>2131.8286638692348</v>
      </c>
    </row>
    <row r="38" spans="1:12" x14ac:dyDescent="0.35">
      <c r="A38" s="5" t="s">
        <v>348</v>
      </c>
      <c r="B38" s="22" t="s">
        <v>90</v>
      </c>
      <c r="C38" s="70">
        <f t="shared" ref="C38:L38" si="4">C36/C37</f>
        <v>0.56140350877192979</v>
      </c>
      <c r="D38" s="70">
        <f t="shared" si="4"/>
        <v>0.97959183673469385</v>
      </c>
      <c r="E38" s="70">
        <f t="shared" si="4"/>
        <v>1.1832191780821917</v>
      </c>
      <c r="F38" s="70">
        <f t="shared" si="4"/>
        <v>0.71284271284271283</v>
      </c>
      <c r="G38" s="70">
        <f t="shared" si="4"/>
        <v>1.0920096852300243</v>
      </c>
      <c r="H38" s="70">
        <f t="shared" si="4"/>
        <v>1.0921390679488534</v>
      </c>
      <c r="I38" s="70">
        <f t="shared" si="4"/>
        <v>1.0516342828876171</v>
      </c>
      <c r="J38" s="70">
        <f t="shared" si="4"/>
        <v>1.0085973674993478</v>
      </c>
      <c r="K38" s="70">
        <f t="shared" si="4"/>
        <v>0.97225873301573795</v>
      </c>
      <c r="L38" s="70">
        <f t="shared" si="4"/>
        <v>0.93983803555677947</v>
      </c>
    </row>
    <row r="39" spans="1:12" x14ac:dyDescent="0.35">
      <c r="A39" s="58" t="s">
        <v>349</v>
      </c>
      <c r="B39" s="59"/>
      <c r="C39" s="67">
        <f>CF!C37</f>
        <v>-948</v>
      </c>
      <c r="D39" s="67">
        <f>CF!D37</f>
        <v>938</v>
      </c>
      <c r="E39" s="67">
        <f>CF!E37</f>
        <v>1004</v>
      </c>
      <c r="F39" s="67">
        <f>CF!F37</f>
        <v>-1035</v>
      </c>
      <c r="G39" s="67">
        <f>CF!G37</f>
        <v>4688</v>
      </c>
      <c r="H39" s="67">
        <f>CF!H37</f>
        <v>3193.7348076295993</v>
      </c>
      <c r="I39" s="67">
        <f>CF!I37</f>
        <v>4925.9195739298539</v>
      </c>
      <c r="J39" s="67">
        <f>CF!J37</f>
        <v>6152.9195164904359</v>
      </c>
      <c r="K39" s="67">
        <f>CF!K37</f>
        <v>7212.7446039871429</v>
      </c>
      <c r="L39" s="67">
        <f>CF!L37</f>
        <v>8309.2216642136227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L84"/>
  <sheetViews>
    <sheetView workbookViewId="0">
      <pane xSplit="2" ySplit="4" topLeftCell="C5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8" customWidth="1"/>
    <col min="2" max="2" width="10" customWidth="1"/>
    <col min="3" max="12" width="13" customWidth="1"/>
  </cols>
  <sheetData>
    <row r="1" spans="1:12" ht="19.5" x14ac:dyDescent="0.45">
      <c r="A1" s="9" t="s">
        <v>350</v>
      </c>
    </row>
    <row r="2" spans="1:12" x14ac:dyDescent="0.35">
      <c r="A2" s="10" t="s">
        <v>351</v>
      </c>
    </row>
    <row r="3" spans="1:12" x14ac:dyDescent="0.35">
      <c r="A3" s="7" t="str">
        <f>"Active Scenario: "&amp;Inputs!$C$6&amp;"  |  Gold-on-Loan Accounting Mode: "&amp;IF(Inputs!$C$7=1,"Operating (NWC)","Debt-Like (Deducted in Bridge)")</f>
        <v>Active Scenario: Base  |  Gold-on-Loan Accounting Mode: Operating (NWC)</v>
      </c>
    </row>
    <row r="5" spans="1:12" x14ac:dyDescent="0.35">
      <c r="A5" s="29" t="s">
        <v>352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x14ac:dyDescent="0.35">
      <c r="A6" s="5" t="s">
        <v>353</v>
      </c>
      <c r="B6" s="22" t="s">
        <v>75</v>
      </c>
      <c r="C6" s="75">
        <f>Inputs!$C$13</f>
        <v>6.5000000000000002E-2</v>
      </c>
    </row>
    <row r="7" spans="1:12" x14ac:dyDescent="0.35">
      <c r="A7" s="5" t="s">
        <v>354</v>
      </c>
      <c r="B7" s="22" t="s">
        <v>75</v>
      </c>
      <c r="C7" s="75">
        <f>Inputs!$C$14</f>
        <v>0.06</v>
      </c>
    </row>
    <row r="8" spans="1:12" x14ac:dyDescent="0.35">
      <c r="A8" s="5" t="s">
        <v>109</v>
      </c>
      <c r="B8" s="22" t="s">
        <v>90</v>
      </c>
      <c r="C8" s="25">
        <f>Inputs!$C$15</f>
        <v>0.9</v>
      </c>
    </row>
    <row r="9" spans="1:12" x14ac:dyDescent="0.35">
      <c r="A9" s="4" t="s">
        <v>355</v>
      </c>
      <c r="B9" s="22" t="s">
        <v>75</v>
      </c>
      <c r="C9" s="44">
        <f>C6+C8*C7</f>
        <v>0.11899999999999999</v>
      </c>
    </row>
    <row r="10" spans="1:12" x14ac:dyDescent="0.35">
      <c r="A10" s="5" t="s">
        <v>356</v>
      </c>
      <c r="B10" s="22" t="s">
        <v>75</v>
      </c>
      <c r="C10" s="75">
        <f>Inputs!$C$16</f>
        <v>7.4999999999999997E-2</v>
      </c>
    </row>
    <row r="11" spans="1:12" x14ac:dyDescent="0.35">
      <c r="A11" s="5" t="s">
        <v>357</v>
      </c>
      <c r="B11" s="22" t="s">
        <v>75</v>
      </c>
      <c r="C11" s="24">
        <f>Inputs!L80</f>
        <v>0.254</v>
      </c>
    </row>
    <row r="12" spans="1:12" x14ac:dyDescent="0.35">
      <c r="A12" s="5" t="s">
        <v>358</v>
      </c>
      <c r="B12" s="22" t="s">
        <v>75</v>
      </c>
      <c r="C12" s="76">
        <f>C10*(1-C11)</f>
        <v>5.595E-2</v>
      </c>
    </row>
    <row r="13" spans="1:12" x14ac:dyDescent="0.35">
      <c r="A13" s="5" t="s">
        <v>359</v>
      </c>
      <c r="B13" s="22" t="s">
        <v>75</v>
      </c>
      <c r="C13" s="24">
        <f>Inputs!$C$17</f>
        <v>0.1</v>
      </c>
    </row>
    <row r="14" spans="1:12" x14ac:dyDescent="0.35">
      <c r="A14" s="5" t="s">
        <v>360</v>
      </c>
      <c r="B14" s="22" t="s">
        <v>75</v>
      </c>
      <c r="C14" s="68">
        <f>1-C13</f>
        <v>0.9</v>
      </c>
    </row>
    <row r="15" spans="1:12" x14ac:dyDescent="0.35">
      <c r="A15" s="58" t="s">
        <v>52</v>
      </c>
      <c r="B15" s="59" t="s">
        <v>75</v>
      </c>
      <c r="C15" s="77">
        <f>C14*C9+C13*C12</f>
        <v>0.112695</v>
      </c>
    </row>
    <row r="17" spans="1:12" x14ac:dyDescent="0.35">
      <c r="A17" s="29" t="s">
        <v>361</v>
      </c>
      <c r="B17" s="30"/>
      <c r="C17" s="30"/>
      <c r="D17" s="30"/>
      <c r="E17" s="30"/>
      <c r="F17" s="30"/>
      <c r="G17" s="30"/>
      <c r="H17" s="78" t="s">
        <v>67</v>
      </c>
      <c r="I17" s="78" t="s">
        <v>68</v>
      </c>
      <c r="J17" s="78" t="s">
        <v>69</v>
      </c>
      <c r="K17" s="78" t="s">
        <v>70</v>
      </c>
      <c r="L17" s="78" t="s">
        <v>71</v>
      </c>
    </row>
    <row r="18" spans="1:12" x14ac:dyDescent="0.35">
      <c r="A18" s="5" t="s">
        <v>72</v>
      </c>
      <c r="B18" s="22"/>
      <c r="H18" s="26">
        <f>IS!H5</f>
        <v>103349.12</v>
      </c>
      <c r="I18" s="26">
        <f>IS!I5</f>
        <v>118851.48799999998</v>
      </c>
      <c r="J18" s="26">
        <f>IS!J5</f>
        <v>134302.18143999996</v>
      </c>
      <c r="K18" s="26">
        <f>IS!K5</f>
        <v>150418.44321279996</v>
      </c>
      <c r="L18" s="26">
        <f>IS!L5</f>
        <v>166964.47196620796</v>
      </c>
    </row>
    <row r="19" spans="1:12" x14ac:dyDescent="0.35">
      <c r="A19" s="5" t="s">
        <v>77</v>
      </c>
      <c r="B19" s="22"/>
      <c r="H19" s="26">
        <f>IS!H14</f>
        <v>9921.5155200000117</v>
      </c>
      <c r="I19" s="26">
        <f>IS!I14</f>
        <v>11647.445823999993</v>
      </c>
      <c r="J19" s="26">
        <f>IS!J14</f>
        <v>13430.218144000002</v>
      </c>
      <c r="K19" s="26">
        <f>IS!K14</f>
        <v>15192.262764492783</v>
      </c>
      <c r="L19" s="26">
        <f>IS!L14</f>
        <v>17030.376140553206</v>
      </c>
    </row>
    <row r="20" spans="1:12" x14ac:dyDescent="0.35">
      <c r="A20" s="5" t="s">
        <v>79</v>
      </c>
      <c r="B20" s="22"/>
      <c r="H20" s="26">
        <f>IS!H17</f>
        <v>8785.9555200000123</v>
      </c>
      <c r="I20" s="26">
        <f>IS!I17</f>
        <v>10291.253962239993</v>
      </c>
      <c r="J20" s="26">
        <f>IS!J17</f>
        <v>11832.329601740803</v>
      </c>
      <c r="K20" s="26">
        <f>IS!K17</f>
        <v>13335.739128078832</v>
      </c>
      <c r="L20" s="26">
        <f>IS!L17</f>
        <v>14898.547476683971</v>
      </c>
    </row>
    <row r="21" spans="1:12" x14ac:dyDescent="0.35">
      <c r="A21" s="5" t="s">
        <v>362</v>
      </c>
      <c r="B21" s="22"/>
      <c r="H21" s="53">
        <f>IF(Inputs!$C$7=1,Schedules!H74,0)</f>
        <v>466.03000000000003</v>
      </c>
      <c r="I21" s="53">
        <f>IF(Inputs!$C$7=1,Schedules!I74,0)</f>
        <v>536.72505187839988</v>
      </c>
      <c r="J21" s="53">
        <f>IF(Inputs!$C$7=1,Schedules!J74,0)</f>
        <v>616.46514987228932</v>
      </c>
      <c r="K21" s="53">
        <f>IF(Inputs!$C$7=1,Schedules!K74,0)</f>
        <v>695.7370337953929</v>
      </c>
      <c r="L21" s="53">
        <f>IF(Inputs!$C$7=1,Schedules!L74,0)</f>
        <v>778.2526620233109</v>
      </c>
    </row>
    <row r="22" spans="1:12" x14ac:dyDescent="0.35">
      <c r="A22" s="54" t="s">
        <v>363</v>
      </c>
      <c r="B22" s="55"/>
      <c r="H22" s="56">
        <f>H20-H21</f>
        <v>8319.9255200000116</v>
      </c>
      <c r="I22" s="56">
        <f>I20-I21</f>
        <v>9754.5289103615924</v>
      </c>
      <c r="J22" s="56">
        <f>J20-J21</f>
        <v>11215.864451868514</v>
      </c>
      <c r="K22" s="56">
        <f>K20-K21</f>
        <v>12640.00209428344</v>
      </c>
      <c r="L22" s="56">
        <f>L20-L21</f>
        <v>14120.29481466066</v>
      </c>
    </row>
    <row r="23" spans="1:12" x14ac:dyDescent="0.35">
      <c r="A23" s="5" t="s">
        <v>364</v>
      </c>
      <c r="B23" s="22"/>
      <c r="H23" s="53">
        <f>MAX(0,H22)*Inputs!H80</f>
        <v>2113.2610820800028</v>
      </c>
      <c r="I23" s="53">
        <f>MAX(0,I22)*Inputs!I80</f>
        <v>2477.6503432318445</v>
      </c>
      <c r="J23" s="53">
        <f>MAX(0,J22)*Inputs!J80</f>
        <v>2848.8295707746024</v>
      </c>
      <c r="K23" s="53">
        <f>MAX(0,K22)*Inputs!K80</f>
        <v>3210.5605319479937</v>
      </c>
      <c r="L23" s="53">
        <f>MAX(0,L22)*Inputs!L80</f>
        <v>3586.5548829238078</v>
      </c>
    </row>
    <row r="24" spans="1:12" x14ac:dyDescent="0.35">
      <c r="A24" s="54" t="s">
        <v>365</v>
      </c>
      <c r="B24" s="55"/>
      <c r="H24" s="56">
        <f>H22-H23</f>
        <v>6206.6644379200088</v>
      </c>
      <c r="I24" s="56">
        <f>I22-I23</f>
        <v>7276.8785671297483</v>
      </c>
      <c r="J24" s="56">
        <f>J22-J23</f>
        <v>8367.0348810939122</v>
      </c>
      <c r="K24" s="56">
        <f>K22-K23</f>
        <v>9429.4415623354471</v>
      </c>
      <c r="L24" s="56">
        <f>L22-L23</f>
        <v>10533.739931736851</v>
      </c>
    </row>
    <row r="25" spans="1:12" x14ac:dyDescent="0.35">
      <c r="A25" s="5" t="s">
        <v>211</v>
      </c>
      <c r="B25" s="22"/>
      <c r="H25" s="26">
        <f>IS!H16</f>
        <v>1135.56</v>
      </c>
      <c r="I25" s="26">
        <f>IS!I16</f>
        <v>1356.1918617599999</v>
      </c>
      <c r="J25" s="26">
        <f>IS!J16</f>
        <v>1597.8885422591998</v>
      </c>
      <c r="K25" s="26">
        <f>IS!K16</f>
        <v>1856.5236364139519</v>
      </c>
      <c r="L25" s="26">
        <f>IS!L16</f>
        <v>2131.8286638692348</v>
      </c>
    </row>
    <row r="26" spans="1:12" x14ac:dyDescent="0.35">
      <c r="A26" s="5" t="s">
        <v>366</v>
      </c>
      <c r="B26" s="22"/>
      <c r="H26" s="26">
        <f>Schedules!H32</f>
        <v>1240.1894399999999</v>
      </c>
      <c r="I26" s="26">
        <f>Schedules!I32</f>
        <v>1426.2178559999998</v>
      </c>
      <c r="J26" s="26">
        <f>Schedules!J32</f>
        <v>1611.6261772799994</v>
      </c>
      <c r="K26" s="26">
        <f>Schedules!K32</f>
        <v>1805.0213185535995</v>
      </c>
      <c r="L26" s="26">
        <f>Schedules!L32</f>
        <v>2003.5736635944957</v>
      </c>
    </row>
    <row r="27" spans="1:12" x14ac:dyDescent="0.35">
      <c r="A27" s="5" t="s">
        <v>367</v>
      </c>
      <c r="B27" s="22"/>
      <c r="H27" s="26">
        <f>Schedules!H43</f>
        <v>1033.4911999999999</v>
      </c>
      <c r="I27" s="26">
        <f>Schedules!I43</f>
        <v>1188.5148799999999</v>
      </c>
      <c r="J27" s="26">
        <f>Schedules!J43</f>
        <v>1343.0218143999996</v>
      </c>
      <c r="K27" s="26">
        <f>Schedules!K43</f>
        <v>1504.1844321279996</v>
      </c>
      <c r="L27" s="26">
        <f>Schedules!L43</f>
        <v>1669.6447196620795</v>
      </c>
    </row>
    <row r="28" spans="1:12" x14ac:dyDescent="0.35">
      <c r="A28" s="5" t="s">
        <v>368</v>
      </c>
      <c r="B28" s="22"/>
      <c r="H28" s="53">
        <f>Schedules!H26-IF(Inputs!$C$7=1,Schedules!H23-Schedules!G23,0)</f>
        <v>3490.51588629041</v>
      </c>
      <c r="I28" s="53">
        <f>Schedules!I26-IF(Inputs!$C$7=1,Schedules!I23-Schedules!H23,0)</f>
        <v>2934.3306872811008</v>
      </c>
      <c r="J28" s="53">
        <f>Schedules!J26-IF(Inputs!$C$7=1,Schedules!J23-Schedules!I23,0)</f>
        <v>2913.9512884656906</v>
      </c>
      <c r="K28" s="53">
        <f>Schedules!K26-IF(Inputs!$C$7=1,Schedules!K23-Schedules!J23,0)</f>
        <v>3030.5195254140672</v>
      </c>
      <c r="L28" s="53">
        <f>Schedules!L26-IF(Inputs!$C$7=1,Schedules!L23-Schedules!K23,0)</f>
        <v>3158.0249126196286</v>
      </c>
    </row>
    <row r="29" spans="1:12" x14ac:dyDescent="0.35">
      <c r="A29" s="58" t="s">
        <v>369</v>
      </c>
      <c r="B29" s="59"/>
      <c r="H29" s="60">
        <f>H24+H25-H26-H27-H28</f>
        <v>1578.0279116295987</v>
      </c>
      <c r="I29" s="60">
        <f>I24+I25-I26-I27-I28</f>
        <v>3084.0070056086488</v>
      </c>
      <c r="J29" s="60">
        <f>J24+J25-J26-J27-J28</f>
        <v>4096.3241432074228</v>
      </c>
      <c r="K29" s="60">
        <f>K24+K25-K26-K27-K28</f>
        <v>4946.2399226537336</v>
      </c>
      <c r="L29" s="60">
        <f>L24+L25-L26-L27-L28</f>
        <v>5834.3252997298823</v>
      </c>
    </row>
    <row r="30" spans="1:12" x14ac:dyDescent="0.35">
      <c r="A30" s="5" t="s">
        <v>370</v>
      </c>
      <c r="B30" s="22"/>
      <c r="H30" s="79">
        <f>COLUMNS($H:H)</f>
        <v>1</v>
      </c>
      <c r="I30" s="79">
        <f>COLUMNS($H:I)</f>
        <v>2</v>
      </c>
      <c r="J30" s="79">
        <f>COLUMNS($H:J)</f>
        <v>3</v>
      </c>
      <c r="K30" s="79">
        <f>COLUMNS($H:K)</f>
        <v>4</v>
      </c>
      <c r="L30" s="79">
        <f>COLUMNS($H:L)</f>
        <v>5</v>
      </c>
    </row>
    <row r="31" spans="1:12" x14ac:dyDescent="0.35">
      <c r="A31" s="5" t="s">
        <v>371</v>
      </c>
      <c r="B31" s="22"/>
      <c r="H31" s="80">
        <f>1/(1+$C$15)^H30</f>
        <v>0.89871887624191715</v>
      </c>
      <c r="I31" s="80">
        <f>1/(1+$C$15)^I30</f>
        <v>0.80769561851353433</v>
      </c>
      <c r="J31" s="80">
        <f>1/(1+$C$15)^J30</f>
        <v>0.72589129861600388</v>
      </c>
      <c r="K31" s="80">
        <f>1/(1+$C$15)^K30</f>
        <v>0.65237221216596086</v>
      </c>
      <c r="L31" s="80">
        <f>1/(1+$C$15)^L30</f>
        <v>0.58629922140924595</v>
      </c>
    </row>
    <row r="32" spans="1:12" x14ac:dyDescent="0.35">
      <c r="A32" s="4" t="s">
        <v>372</v>
      </c>
      <c r="B32" s="22"/>
      <c r="H32" s="50">
        <f>H29*H31</f>
        <v>1418.2034714181323</v>
      </c>
      <c r="I32" s="50">
        <f>I29*I31</f>
        <v>2490.9389458951505</v>
      </c>
      <c r="J32" s="50">
        <f>J29*J31</f>
        <v>2973.4860518649257</v>
      </c>
      <c r="K32" s="50">
        <f>K29*K31</f>
        <v>3226.7894802452074</v>
      </c>
      <c r="L32" s="50">
        <f>L29*L31</f>
        <v>3420.6603806798953</v>
      </c>
    </row>
    <row r="34" spans="1:12" x14ac:dyDescent="0.35">
      <c r="A34" s="29" t="s">
        <v>373</v>
      </c>
      <c r="B34" s="30"/>
      <c r="C34" s="30"/>
      <c r="D34" s="30"/>
      <c r="E34" s="30"/>
      <c r="F34" s="30"/>
      <c r="G34" s="30"/>
      <c r="H34" s="78" t="s">
        <v>374</v>
      </c>
      <c r="I34" s="78" t="s">
        <v>375</v>
      </c>
      <c r="J34" s="78" t="s">
        <v>376</v>
      </c>
      <c r="K34" s="78" t="s">
        <v>377</v>
      </c>
      <c r="L34" s="78" t="s">
        <v>378</v>
      </c>
    </row>
    <row r="35" spans="1:12" x14ac:dyDescent="0.35">
      <c r="A35" s="5" t="s">
        <v>379</v>
      </c>
      <c r="B35" s="22"/>
      <c r="H35" s="53">
        <f>COLUMNS($H:H)</f>
        <v>1</v>
      </c>
      <c r="I35" s="53">
        <f>COLUMNS($H:I)</f>
        <v>2</v>
      </c>
      <c r="J35" s="53">
        <f>COLUMNS($H:J)</f>
        <v>3</v>
      </c>
      <c r="K35" s="53">
        <f>COLUMNS($H:K)</f>
        <v>4</v>
      </c>
      <c r="L35" s="53">
        <f>COLUMNS($H:L)</f>
        <v>5</v>
      </c>
    </row>
    <row r="36" spans="1:12" x14ac:dyDescent="0.35">
      <c r="A36" s="5" t="s">
        <v>380</v>
      </c>
      <c r="B36" s="22"/>
      <c r="H36" s="68">
        <f>IS!$L$6+($C$45-IS!$L$6)*H35/6</f>
        <v>0.1</v>
      </c>
      <c r="I36" s="68">
        <f>IS!$L$6+($C$45-IS!$L$6)*I35/6</f>
        <v>0.09</v>
      </c>
      <c r="J36" s="68">
        <f>IS!$L$6+($C$45-IS!$L$6)*J35/6</f>
        <v>0.08</v>
      </c>
      <c r="K36" s="68">
        <f>IS!$L$6+($C$45-IS!$L$6)*K35/6</f>
        <v>7.0000000000000007E-2</v>
      </c>
      <c r="L36" s="68">
        <f>IS!$L$6+($C$45-IS!$L$6)*L35/6</f>
        <v>6.0000000000000005E-2</v>
      </c>
    </row>
    <row r="37" spans="1:12" x14ac:dyDescent="0.35">
      <c r="A37" s="5" t="s">
        <v>381</v>
      </c>
      <c r="B37" s="22"/>
      <c r="H37" s="53">
        <f>$L$24*(1+H36)</f>
        <v>11587.113924910536</v>
      </c>
      <c r="I37" s="53">
        <f>H37*(1+I36)</f>
        <v>12629.954178152486</v>
      </c>
      <c r="J37" s="53">
        <f>I37*(1+J36)</f>
        <v>13640.350512404686</v>
      </c>
      <c r="K37" s="53">
        <f>J37*(1+K36)</f>
        <v>14595.175048273015</v>
      </c>
      <c r="L37" s="53">
        <f>K37*(1+L36)</f>
        <v>15470.885551169396</v>
      </c>
    </row>
    <row r="38" spans="1:12" x14ac:dyDescent="0.35">
      <c r="A38" s="5" t="s">
        <v>382</v>
      </c>
      <c r="B38" s="22"/>
      <c r="H38" s="68">
        <f>H36/$C$46</f>
        <v>0.5</v>
      </c>
      <c r="I38" s="68">
        <f>I36/$C$46</f>
        <v>0.44999999999999996</v>
      </c>
      <c r="J38" s="68">
        <f>J36/$C$46</f>
        <v>0.39999999999999997</v>
      </c>
      <c r="K38" s="68">
        <f>K36/$C$46</f>
        <v>0.35000000000000003</v>
      </c>
      <c r="L38" s="68">
        <f>L36/$C$46</f>
        <v>0.3</v>
      </c>
    </row>
    <row r="39" spans="1:12" x14ac:dyDescent="0.35">
      <c r="A39" s="54" t="s">
        <v>383</v>
      </c>
      <c r="B39" s="55"/>
      <c r="H39" s="56">
        <f>H37*(1-H38)</f>
        <v>5793.5569624552681</v>
      </c>
      <c r="I39" s="56">
        <f>I37*(1-I38)</f>
        <v>6946.4747979838676</v>
      </c>
      <c r="J39" s="56">
        <f>J37*(1-J38)</f>
        <v>8184.2103074428132</v>
      </c>
      <c r="K39" s="56">
        <f>K37*(1-K38)</f>
        <v>9486.8637813774585</v>
      </c>
      <c r="L39" s="56">
        <f>L37*(1-L38)</f>
        <v>10829.619885818576</v>
      </c>
    </row>
    <row r="40" spans="1:12" x14ac:dyDescent="0.35">
      <c r="A40" s="5" t="s">
        <v>384</v>
      </c>
      <c r="B40" s="22"/>
      <c r="H40" s="79">
        <f>$L$30+H35</f>
        <v>6</v>
      </c>
      <c r="I40" s="79">
        <f>$L$30+I35</f>
        <v>7</v>
      </c>
      <c r="J40" s="79">
        <f>$L$30+J35</f>
        <v>8</v>
      </c>
      <c r="K40" s="79">
        <f>$L$30+K35</f>
        <v>9</v>
      </c>
      <c r="L40" s="79">
        <f>$L$30+L35</f>
        <v>10</v>
      </c>
    </row>
    <row r="41" spans="1:12" x14ac:dyDescent="0.35">
      <c r="A41" s="5" t="s">
        <v>371</v>
      </c>
      <c r="B41" s="22"/>
      <c r="H41" s="80">
        <f>1/(1+$C$15)^H40</f>
        <v>0.52691817740642843</v>
      </c>
      <c r="I41" s="80">
        <f>1/(1+$C$15)^I40</f>
        <v>0.47355131227014446</v>
      </c>
      <c r="J41" s="80">
        <f>1/(1+$C$15)^J40</f>
        <v>0.42558950320630939</v>
      </c>
      <c r="K41" s="80">
        <f>1/(1+$C$15)^K40</f>
        <v>0.3824853200619302</v>
      </c>
      <c r="L41" s="80">
        <f>1/(1+$C$15)^L40</f>
        <v>0.34374677702508788</v>
      </c>
    </row>
    <row r="42" spans="1:12" x14ac:dyDescent="0.35">
      <c r="A42" s="4" t="s">
        <v>385</v>
      </c>
      <c r="B42" s="22"/>
      <c r="H42" s="50">
        <f>H39*H41</f>
        <v>3052.7304753572535</v>
      </c>
      <c r="I42" s="50">
        <f>I39*I41</f>
        <v>3289.5122562367474</v>
      </c>
      <c r="J42" s="50">
        <f>J39*J41</f>
        <v>3483.1139988805435</v>
      </c>
      <c r="K42" s="50">
        <f>K39*K41</f>
        <v>3628.5861298040904</v>
      </c>
      <c r="L42" s="50">
        <f>L39*L41</f>
        <v>3722.6469321569357</v>
      </c>
    </row>
    <row r="44" spans="1:12" x14ac:dyDescent="0.35">
      <c r="A44" s="29" t="s">
        <v>386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</row>
    <row r="45" spans="1:12" x14ac:dyDescent="0.35">
      <c r="A45" s="5" t="s">
        <v>387</v>
      </c>
      <c r="B45" s="22" t="s">
        <v>75</v>
      </c>
      <c r="C45" s="75">
        <f>Inputs!$C$18</f>
        <v>0.05</v>
      </c>
    </row>
    <row r="46" spans="1:12" x14ac:dyDescent="0.35">
      <c r="A46" s="5" t="s">
        <v>388</v>
      </c>
      <c r="B46" s="22" t="s">
        <v>75</v>
      </c>
      <c r="C46" s="24">
        <f>Inputs!$C$19</f>
        <v>0.2</v>
      </c>
    </row>
    <row r="47" spans="1:12" x14ac:dyDescent="0.35">
      <c r="A47" s="5" t="s">
        <v>389</v>
      </c>
      <c r="B47" s="22"/>
      <c r="C47" s="53">
        <f>$L$37*(1+C45)</f>
        <v>16244.429828727867</v>
      </c>
    </row>
    <row r="48" spans="1:12" x14ac:dyDescent="0.35">
      <c r="A48" s="5" t="s">
        <v>390</v>
      </c>
      <c r="B48" s="22"/>
      <c r="C48" s="53">
        <f>C47*(1-C45/C46)/($C$15-C45)</f>
        <v>194326.85814731478</v>
      </c>
    </row>
    <row r="49" spans="1:3" x14ac:dyDescent="0.35">
      <c r="A49" s="5" t="s">
        <v>391</v>
      </c>
      <c r="B49" s="22"/>
      <c r="C49" s="53">
        <f>C48*$L$41</f>
        <v>66799.231177550901</v>
      </c>
    </row>
    <row r="50" spans="1:3" x14ac:dyDescent="0.35">
      <c r="A50" s="5" t="s">
        <v>392</v>
      </c>
      <c r="B50" s="22"/>
      <c r="C50" s="53">
        <f>SUM(H32:L32)</f>
        <v>13530.078330103312</v>
      </c>
    </row>
    <row r="51" spans="1:3" x14ac:dyDescent="0.35">
      <c r="A51" s="5" t="s">
        <v>393</v>
      </c>
      <c r="B51" s="22"/>
      <c r="C51" s="53">
        <f>SUM(H42:L42)</f>
        <v>17176.58979243557</v>
      </c>
    </row>
    <row r="52" spans="1:3" x14ac:dyDescent="0.35">
      <c r="A52" s="58" t="s">
        <v>394</v>
      </c>
      <c r="B52" s="59"/>
      <c r="C52" s="60">
        <f>C50+C51+C49</f>
        <v>97505.899300089775</v>
      </c>
    </row>
    <row r="53" spans="1:3" x14ac:dyDescent="0.35">
      <c r="A53" s="5" t="s">
        <v>395</v>
      </c>
      <c r="B53" s="22"/>
      <c r="C53" s="26">
        <f>BS!G17</f>
        <v>873</v>
      </c>
    </row>
    <row r="54" spans="1:3" x14ac:dyDescent="0.35">
      <c r="A54" s="5" t="s">
        <v>396</v>
      </c>
      <c r="B54" s="22"/>
      <c r="C54" s="26">
        <f>BS!G16</f>
        <v>3293</v>
      </c>
    </row>
    <row r="55" spans="1:3" x14ac:dyDescent="0.35">
      <c r="A55" s="5" t="s">
        <v>397</v>
      </c>
      <c r="B55" s="22"/>
      <c r="C55" s="26">
        <f>BS!G10</f>
        <v>1257</v>
      </c>
    </row>
    <row r="56" spans="1:3" x14ac:dyDescent="0.35">
      <c r="A56" s="5" t="s">
        <v>398</v>
      </c>
      <c r="B56" s="22"/>
      <c r="C56" s="26">
        <f>-BS!G25</f>
        <v>-11378</v>
      </c>
    </row>
    <row r="57" spans="1:3" x14ac:dyDescent="0.35">
      <c r="A57" s="5" t="s">
        <v>399</v>
      </c>
      <c r="B57" s="22"/>
      <c r="C57" s="26">
        <f>-BS!G27</f>
        <v>-3173</v>
      </c>
    </row>
    <row r="58" spans="1:3" x14ac:dyDescent="0.35">
      <c r="A58" s="5" t="s">
        <v>400</v>
      </c>
      <c r="B58" s="22"/>
      <c r="C58" s="53">
        <f>-IF(Inputs!$C$7=2,BS!G26,0)</f>
        <v>0</v>
      </c>
    </row>
    <row r="59" spans="1:3" x14ac:dyDescent="0.35">
      <c r="A59" s="5" t="s">
        <v>401</v>
      </c>
      <c r="B59" s="22"/>
      <c r="C59" s="26">
        <f>-Hist_Data!G53</f>
        <v>0</v>
      </c>
    </row>
    <row r="60" spans="1:3" x14ac:dyDescent="0.35">
      <c r="A60" s="58" t="s">
        <v>402</v>
      </c>
      <c r="B60" s="59"/>
      <c r="C60" s="60">
        <f>C52+SUM(C53:C59)</f>
        <v>88377.899300089775</v>
      </c>
    </row>
    <row r="61" spans="1:3" x14ac:dyDescent="0.35">
      <c r="A61" s="5" t="s">
        <v>403</v>
      </c>
      <c r="B61" s="22" t="s">
        <v>73</v>
      </c>
      <c r="C61" s="25">
        <f>Inputs!$C$10</f>
        <v>88.78</v>
      </c>
    </row>
    <row r="62" spans="1:3" x14ac:dyDescent="0.35">
      <c r="A62" s="4" t="s">
        <v>404</v>
      </c>
      <c r="B62" s="22" t="s">
        <v>84</v>
      </c>
      <c r="C62" s="61">
        <f>C60/C61</f>
        <v>995.47081887913691</v>
      </c>
    </row>
    <row r="63" spans="1:3" x14ac:dyDescent="0.35">
      <c r="A63" s="5" t="s">
        <v>51</v>
      </c>
      <c r="B63" s="22" t="s">
        <v>84</v>
      </c>
      <c r="C63" s="25">
        <f>Inputs!$C$9</f>
        <v>4798.5</v>
      </c>
    </row>
    <row r="64" spans="1:3" x14ac:dyDescent="0.35">
      <c r="A64" s="4" t="s">
        <v>405</v>
      </c>
      <c r="B64" s="22" t="s">
        <v>75</v>
      </c>
      <c r="C64" s="41">
        <f>C62/C63-1</f>
        <v>-0.79254541650950572</v>
      </c>
    </row>
    <row r="66" spans="1:12" x14ac:dyDescent="0.35">
      <c r="A66" s="29" t="s">
        <v>406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</row>
    <row r="67" spans="1:12" x14ac:dyDescent="0.35">
      <c r="A67" s="5" t="s">
        <v>407</v>
      </c>
      <c r="B67" s="22" t="s">
        <v>90</v>
      </c>
      <c r="C67" s="27">
        <f>Inputs!$F$22</f>
        <v>25</v>
      </c>
    </row>
    <row r="68" spans="1:12" x14ac:dyDescent="0.35">
      <c r="A68" s="5" t="s">
        <v>408</v>
      </c>
      <c r="B68" s="22"/>
      <c r="C68" s="53">
        <f>$L$19</f>
        <v>17030.376140553206</v>
      </c>
    </row>
    <row r="69" spans="1:12" x14ac:dyDescent="0.35">
      <c r="A69" s="5" t="s">
        <v>409</v>
      </c>
      <c r="B69" s="22"/>
      <c r="C69" s="53">
        <f>C67*C68</f>
        <v>425759.40351383016</v>
      </c>
    </row>
    <row r="70" spans="1:12" x14ac:dyDescent="0.35">
      <c r="A70" s="5" t="s">
        <v>410</v>
      </c>
      <c r="B70" s="22"/>
      <c r="C70" s="53">
        <f>C69*$L$31</f>
        <v>249622.40678782359</v>
      </c>
    </row>
    <row r="71" spans="1:12" x14ac:dyDescent="0.35">
      <c r="A71" s="58" t="s">
        <v>411</v>
      </c>
      <c r="B71" s="59"/>
      <c r="C71" s="60">
        <f>C50+C70</f>
        <v>263152.4851179269</v>
      </c>
    </row>
    <row r="72" spans="1:12" x14ac:dyDescent="0.35">
      <c r="A72" s="58" t="s">
        <v>412</v>
      </c>
      <c r="B72" s="59"/>
      <c r="C72" s="60">
        <f>C71+SUM(C53:C59)</f>
        <v>254024.4851179269</v>
      </c>
    </row>
    <row r="73" spans="1:12" x14ac:dyDescent="0.35">
      <c r="A73" s="4" t="s">
        <v>413</v>
      </c>
      <c r="B73" s="22" t="s">
        <v>84</v>
      </c>
      <c r="C73" s="61">
        <f>C72/C61</f>
        <v>2861.2805262212987</v>
      </c>
    </row>
    <row r="74" spans="1:12" x14ac:dyDescent="0.35">
      <c r="A74" s="4" t="s">
        <v>414</v>
      </c>
      <c r="B74" s="22" t="s">
        <v>75</v>
      </c>
      <c r="C74" s="41">
        <f>C73/C63-1</f>
        <v>-0.40371355085520499</v>
      </c>
    </row>
    <row r="76" spans="1:12" x14ac:dyDescent="0.35">
      <c r="A76" s="29" t="s">
        <v>415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</row>
    <row r="77" spans="1:12" x14ac:dyDescent="0.35">
      <c r="A77" s="5" t="s">
        <v>59</v>
      </c>
      <c r="B77" s="22" t="s">
        <v>75</v>
      </c>
      <c r="C77" s="68">
        <f>C49/C52</f>
        <v>0.68507886863302225</v>
      </c>
    </row>
    <row r="78" spans="1:12" x14ac:dyDescent="0.35">
      <c r="A78" s="5" t="s">
        <v>416</v>
      </c>
      <c r="B78" s="22" t="s">
        <v>90</v>
      </c>
      <c r="C78" s="69">
        <f>C52/$H$19</f>
        <v>9.8277222974186973</v>
      </c>
    </row>
    <row r="79" spans="1:12" x14ac:dyDescent="0.35">
      <c r="A79" s="5" t="s">
        <v>417</v>
      </c>
      <c r="B79" s="22" t="s">
        <v>90</v>
      </c>
      <c r="C79" s="69">
        <f>C62/IS!H31</f>
        <v>15.067600764588377</v>
      </c>
    </row>
    <row r="80" spans="1:12" x14ac:dyDescent="0.35">
      <c r="A80" s="5" t="s">
        <v>418</v>
      </c>
      <c r="B80" s="22" t="s">
        <v>90</v>
      </c>
      <c r="C80" s="70">
        <f>C52/$H$18</f>
        <v>0.9434613405521961</v>
      </c>
    </row>
    <row r="81" spans="1:3" x14ac:dyDescent="0.35">
      <c r="A81" s="5" t="s">
        <v>419</v>
      </c>
      <c r="B81" s="22"/>
      <c r="C81" s="53">
        <f>SUM(C53:C59)</f>
        <v>-9128</v>
      </c>
    </row>
    <row r="82" spans="1:3" x14ac:dyDescent="0.35">
      <c r="A82" s="5" t="s">
        <v>420</v>
      </c>
      <c r="B82" s="22"/>
      <c r="C82" s="53">
        <f>C63*C61-C81</f>
        <v>435138.83</v>
      </c>
    </row>
    <row r="83" spans="1:3" x14ac:dyDescent="0.35">
      <c r="A83" s="5" t="s">
        <v>421</v>
      </c>
      <c r="B83" s="22" t="s">
        <v>90</v>
      </c>
      <c r="C83" s="69">
        <f>C82/$H$19</f>
        <v>43.858101025275573</v>
      </c>
    </row>
    <row r="84" spans="1:3" x14ac:dyDescent="0.35">
      <c r="A84" s="4" t="s">
        <v>422</v>
      </c>
      <c r="B84" s="22" t="s">
        <v>90</v>
      </c>
      <c r="C84" s="39">
        <f>(C82-C50)/$L$31/C68</f>
        <v>42.224650132095285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L45"/>
  <sheetViews>
    <sheetView workbookViewId="0">
      <selection activeCell="F16" sqref="F16"/>
    </sheetView>
  </sheetViews>
  <sheetFormatPr defaultRowHeight="14.5" x14ac:dyDescent="0.35"/>
  <cols>
    <col min="1" max="1" width="44" customWidth="1"/>
    <col min="2" max="2" width="12" customWidth="1"/>
    <col min="3" max="12" width="13" customWidth="1"/>
  </cols>
  <sheetData>
    <row r="1" spans="1:7" ht="19.5" x14ac:dyDescent="0.45">
      <c r="A1" s="9" t="s">
        <v>423</v>
      </c>
    </row>
    <row r="2" spans="1:7" x14ac:dyDescent="0.35">
      <c r="A2" s="10" t="s">
        <v>424</v>
      </c>
    </row>
    <row r="3" spans="1:7" x14ac:dyDescent="0.35">
      <c r="A3" s="5" t="s">
        <v>425</v>
      </c>
      <c r="C3" s="35">
        <v>5.0000000000000001E-3</v>
      </c>
    </row>
    <row r="4" spans="1:7" x14ac:dyDescent="0.35">
      <c r="A4" s="5" t="s">
        <v>426</v>
      </c>
      <c r="C4" s="35">
        <v>5.0000000000000001E-3</v>
      </c>
    </row>
    <row r="5" spans="1:7" x14ac:dyDescent="0.35">
      <c r="A5" s="5" t="s">
        <v>427</v>
      </c>
      <c r="C5" s="38">
        <v>2.5</v>
      </c>
    </row>
    <row r="8" spans="1:7" x14ac:dyDescent="0.35">
      <c r="A8" s="29" t="s">
        <v>428</v>
      </c>
      <c r="B8" s="30"/>
      <c r="C8" s="30"/>
      <c r="D8" s="30"/>
      <c r="E8" s="30"/>
      <c r="F8" s="30"/>
      <c r="G8" s="30"/>
    </row>
    <row r="9" spans="1:7" x14ac:dyDescent="0.35">
      <c r="A9" s="81" t="s">
        <v>429</v>
      </c>
      <c r="C9" s="82">
        <v>-2</v>
      </c>
      <c r="D9" s="82">
        <v>-1</v>
      </c>
      <c r="E9" s="82">
        <v>0</v>
      </c>
      <c r="F9" s="82">
        <v>1</v>
      </c>
      <c r="G9" s="82">
        <v>2</v>
      </c>
    </row>
    <row r="10" spans="1:7" x14ac:dyDescent="0.35">
      <c r="B10" s="83" t="s">
        <v>430</v>
      </c>
      <c r="C10" s="84">
        <f>DCF!$C$45+C9*$C$4</f>
        <v>0.04</v>
      </c>
      <c r="D10" s="84">
        <f>DCF!$C$45+D9*$C$4</f>
        <v>4.5000000000000005E-2</v>
      </c>
      <c r="E10" s="84">
        <f>DCF!$C$45+E9*$C$4</f>
        <v>0.05</v>
      </c>
      <c r="F10" s="84">
        <f>DCF!$C$45+F9*$C$4</f>
        <v>5.5E-2</v>
      </c>
      <c r="G10" s="84">
        <f>DCF!$C$45+G9*$C$4</f>
        <v>6.0000000000000005E-2</v>
      </c>
    </row>
    <row r="11" spans="1:7" x14ac:dyDescent="0.35">
      <c r="A11" s="81" t="s">
        <v>431</v>
      </c>
      <c r="B11" s="85">
        <f>DCF!$C$15+(-2)*$C$3</f>
        <v>0.10269500000000001</v>
      </c>
      <c r="C11" s="53">
        <f>(SUMPRODUCT(DCF!$H$29:$L$29/(1+$B11)^DCF!$H$30:$L$30)+SUMPRODUCT($H$33:$L$33/(1+$B11)^DCF!$H$40:$L$40)+$C$33/($B11-C$10)/(1+$B11)^DCF!$L$40+DCF!$C$81)/DCF!$C$61</f>
        <v>1118.4635272791236</v>
      </c>
      <c r="D11" s="53">
        <f>(SUMPRODUCT(DCF!$H$29:$L$29/(1+$B11)^DCF!$H$30:$L$30)+SUMPRODUCT($H$36:$L$36/(1+$B11)^DCF!$H$40:$L$40)+$C$36/($B11-D$10)/(1+$B11)^DCF!$L$40+DCF!$C$81)/DCF!$C$61</f>
        <v>1175.1259676606253</v>
      </c>
      <c r="E11" s="53">
        <f>(SUMPRODUCT(DCF!$H$29:$L$29/(1+$B11)^DCF!$H$30:$L$30)+SUMPRODUCT($H$39:$L$39/(1+$B11)^DCF!$H$40:$L$40)+$C$39/($B11-E$10)/(1+$B11)^DCF!$L$40+DCF!$C$81)/DCF!$C$61</f>
        <v>1242.2160210810832</v>
      </c>
      <c r="F11" s="53">
        <f>(SUMPRODUCT(DCF!$H$29:$L$29/(1+$B11)^DCF!$H$30:$L$30)+SUMPRODUCT($H$42:$L$42/(1+$B11)^DCF!$H$40:$L$40)+$C$42/($B11-F$10)/(1+$B11)^DCF!$L$40+DCF!$C$81)/DCF!$C$61</f>
        <v>1323.0085597859452</v>
      </c>
      <c r="G11" s="53">
        <f>(SUMPRODUCT(DCF!$H$29:$L$29/(1+$B11)^DCF!$H$30:$L$30)+SUMPRODUCT($H$45:$L$45/(1+$B11)^DCF!$H$40:$L$40)+$C$45/($B11-G$10)/(1+$B11)^DCF!$L$40+DCF!$C$81)/DCF!$C$61</f>
        <v>1422.3124733466434</v>
      </c>
    </row>
    <row r="12" spans="1:7" x14ac:dyDescent="0.35">
      <c r="A12" s="81"/>
      <c r="B12" s="85">
        <f>DCF!$C$15+(-1)*$C$3</f>
        <v>0.107695</v>
      </c>
      <c r="C12" s="53">
        <f>(SUMPRODUCT(DCF!$H$29:$L$29/(1+$B12)^DCF!$H$30:$L$30)+SUMPRODUCT($H$33:$L$33/(1+$B12)^DCF!$H$40:$L$40)+$C$33/($B12-C$10)/(1+$B12)^DCF!$L$40+DCF!$C$81)/DCF!$C$61</f>
        <v>1010.7682728171503</v>
      </c>
      <c r="D12" s="53">
        <f>(SUMPRODUCT(DCF!$H$29:$L$29/(1+$B12)^DCF!$H$30:$L$30)+SUMPRODUCT($H$36:$L$36/(1+$B12)^DCF!$H$40:$L$40)+$C$36/($B12-D$10)/(1+$B12)^DCF!$L$40+DCF!$C$81)/DCF!$C$61</f>
        <v>1055.5699677079187</v>
      </c>
      <c r="E12" s="53">
        <f>(SUMPRODUCT(DCF!$H$29:$L$29/(1+$B12)^DCF!$H$30:$L$30)+SUMPRODUCT($H$39:$L$39/(1+$B12)^DCF!$H$40:$L$40)+$C$39/($B12-E$10)/(1+$B12)^DCF!$L$40+DCF!$C$81)/DCF!$C$61</f>
        <v>1107.8519722580861</v>
      </c>
      <c r="F12" s="53">
        <f>(SUMPRODUCT(DCF!$H$29:$L$29/(1+$B12)^DCF!$H$30:$L$30)+SUMPRODUCT($H$42:$L$42/(1+$B12)^DCF!$H$40:$L$40)+$C$42/($B12-F$10)/(1+$B12)^DCF!$L$40+DCF!$C$81)/DCF!$C$61</f>
        <v>1169.739631772198</v>
      </c>
      <c r="G12" s="53">
        <f>(SUMPRODUCT(DCF!$H$29:$L$29/(1+$B12)^DCF!$H$30:$L$30)+SUMPRODUCT($H$45:$L$45/(1+$B12)^DCF!$H$40:$L$40)+$C$45/($B12-G$10)/(1+$B12)^DCF!$L$40+DCF!$C$81)/DCF!$C$61</f>
        <v>1244.2494634644243</v>
      </c>
    </row>
    <row r="13" spans="1:7" x14ac:dyDescent="0.35">
      <c r="A13" s="81"/>
      <c r="B13" s="85">
        <f>DCF!$C$15+(0)*$C$3</f>
        <v>0.112695</v>
      </c>
      <c r="C13" s="53">
        <f>(SUMPRODUCT(DCF!$H$29:$L$29/(1+$B13)^DCF!$H$30:$L$30)+SUMPRODUCT($H$33:$L$33/(1+$B13)^DCF!$H$40:$L$40)+$C$33/($B13-C$10)/(1+$B13)^DCF!$L$40+DCF!$C$81)/DCF!$C$61</f>
        <v>918.44030214155259</v>
      </c>
      <c r="D13" s="53">
        <f>(SUMPRODUCT(DCF!$H$29:$L$29/(1+$B13)^DCF!$H$30:$L$30)+SUMPRODUCT($H$36:$L$36/(1+$B13)^DCF!$H$40:$L$40)+$C$36/($B13-D$10)/(1+$B13)^DCF!$L$40+DCF!$C$81)/DCF!$C$61</f>
        <v>954.22728659352015</v>
      </c>
      <c r="E13" s="86">
        <f>(SUMPRODUCT(DCF!$H$29:$L$29/(1+$B13)^DCF!$H$30:$L$30)+SUMPRODUCT($H$39:$L$39/(1+$B13)^DCF!$H$40:$L$40)+$C$39/($B13-E$10)/(1+$B13)^DCF!$L$40+DCF!$C$81)/DCF!$C$61</f>
        <v>995.47081887913691</v>
      </c>
      <c r="F13" s="53">
        <f>(SUMPRODUCT(DCF!$H$29:$L$29/(1+$B13)^DCF!$H$30:$L$30)+SUMPRODUCT($H$42:$L$42/(1+$B13)^DCF!$H$40:$L$40)+$C$42/($B13-F$10)/(1+$B13)^DCF!$L$40+DCF!$C$81)/DCF!$C$61</f>
        <v>1043.586061041766</v>
      </c>
      <c r="G13" s="53">
        <f>(SUMPRODUCT(DCF!$H$29:$L$29/(1+$B13)^DCF!$H$30:$L$30)+SUMPRODUCT($H$45:$L$45/(1+$B13)^DCF!$H$40:$L$40)+$C$45/($B13-G$10)/(1+$B13)^DCF!$L$40+DCF!$C$81)/DCF!$C$61</f>
        <v>1100.5252448061287</v>
      </c>
    </row>
    <row r="14" spans="1:7" x14ac:dyDescent="0.35">
      <c r="A14" s="81"/>
      <c r="B14" s="85">
        <f>DCF!$C$15+(1)*$C$3</f>
        <v>0.11769500000000001</v>
      </c>
      <c r="C14" s="53">
        <f>(SUMPRODUCT(DCF!$H$29:$L$29/(1+$B14)^DCF!$H$30:$L$30)+SUMPRODUCT($H$33:$L$33/(1+$B14)^DCF!$H$40:$L$40)+$C$33/($B14-C$10)/(1+$B14)^DCF!$L$40+DCF!$C$81)/DCF!$C$61</f>
        <v>838.49087562189823</v>
      </c>
      <c r="D14" s="53">
        <f>(SUMPRODUCT(DCF!$H$29:$L$29/(1+$B14)^DCF!$H$30:$L$30)+SUMPRODUCT($H$36:$L$36/(1+$B14)^DCF!$H$40:$L$40)+$C$36/($B14-D$10)/(1+$B14)^DCF!$L$40+DCF!$C$81)/DCF!$C$61</f>
        <v>867.3179688193045</v>
      </c>
      <c r="E14" s="53">
        <f>(SUMPRODUCT(DCF!$H$29:$L$29/(1+$B14)^DCF!$H$30:$L$30)+SUMPRODUCT($H$39:$L$39/(1+$B14)^DCF!$H$40:$L$40)+$C$39/($B14-E$10)/(1+$B14)^DCF!$L$40+DCF!$C$81)/DCF!$C$61</f>
        <v>900.17989343122372</v>
      </c>
      <c r="F14" s="53">
        <f>(SUMPRODUCT(DCF!$H$29:$L$29/(1+$B14)^DCF!$H$30:$L$30)+SUMPRODUCT($H$42:$L$42/(1+$B14)^DCF!$H$40:$L$40)+$C$42/($B14-F$10)/(1+$B14)^DCF!$L$40+DCF!$C$81)/DCF!$C$61</f>
        <v>938.03893868686873</v>
      </c>
      <c r="G14" s="53">
        <f>(SUMPRODUCT(DCF!$H$29:$L$29/(1+$B14)^DCF!$H$30:$L$30)+SUMPRODUCT($H$45:$L$45/(1+$B14)^DCF!$H$40:$L$40)+$C$45/($B14-G$10)/(1+$B14)^DCF!$L$40+DCF!$C$81)/DCF!$C$61</f>
        <v>982.1909328267019</v>
      </c>
    </row>
    <row r="15" spans="1:7" x14ac:dyDescent="0.35">
      <c r="A15" s="81"/>
      <c r="B15" s="85">
        <f>DCF!$C$15+(2)*$C$3</f>
        <v>0.122695</v>
      </c>
      <c r="C15" s="53">
        <f>(SUMPRODUCT(DCF!$H$29:$L$29/(1+$B15)^DCF!$H$30:$L$30)+SUMPRODUCT($H$33:$L$33/(1+$B15)^DCF!$H$40:$L$40)+$C$33/($B15-C$10)/(1+$B15)^DCF!$L$40+DCF!$C$81)/DCF!$C$61</f>
        <v>768.65508822054255</v>
      </c>
      <c r="D15" s="53">
        <f>(SUMPRODUCT(DCF!$H$29:$L$29/(1+$B15)^DCF!$H$30:$L$30)+SUMPRODUCT($H$36:$L$36/(1+$B15)^DCF!$H$40:$L$40)+$C$36/($B15-D$10)/(1+$B15)^DCF!$L$40+DCF!$C$81)/DCF!$C$61</f>
        <v>792.0360758556609</v>
      </c>
      <c r="E15" s="53">
        <f>(SUMPRODUCT(DCF!$H$29:$L$29/(1+$B15)^DCF!$H$30:$L$30)+SUMPRODUCT($H$39:$L$39/(1+$B15)^DCF!$H$40:$L$40)+$C$39/($B15-E$10)/(1+$B15)^DCF!$L$40+DCF!$C$81)/DCF!$C$61</f>
        <v>818.43359258511646</v>
      </c>
      <c r="F15" s="53">
        <f>(SUMPRODUCT(DCF!$H$29:$L$29/(1+$B15)^DCF!$H$30:$L$30)+SUMPRODUCT($H$42:$L$42/(1+$B15)^DCF!$H$40:$L$40)+$C$42/($B15-F$10)/(1+$B15)^DCF!$L$40+DCF!$C$81)/DCF!$C$61</f>
        <v>848.51333707422873</v>
      </c>
      <c r="G15" s="53">
        <f>(SUMPRODUCT(DCF!$H$29:$L$29/(1+$B15)^DCF!$H$30:$L$30)+SUMPRODUCT($H$45:$L$45/(1+$B15)^DCF!$H$40:$L$40)+$C$45/($B15-G$10)/(1+$B15)^DCF!$L$40+DCF!$C$81)/DCF!$C$61</f>
        <v>883.15333464512389</v>
      </c>
    </row>
    <row r="18" spans="1:12" x14ac:dyDescent="0.35">
      <c r="A18" s="29" t="s">
        <v>432</v>
      </c>
      <c r="B18" s="30"/>
      <c r="C18" s="30"/>
      <c r="D18" s="30"/>
      <c r="E18" s="30"/>
      <c r="F18" s="30"/>
      <c r="G18" s="30"/>
    </row>
    <row r="19" spans="1:12" x14ac:dyDescent="0.35">
      <c r="A19" s="81" t="s">
        <v>429</v>
      </c>
      <c r="C19" s="82">
        <v>-2</v>
      </c>
      <c r="D19" s="82">
        <v>-1</v>
      </c>
      <c r="E19" s="82">
        <v>0</v>
      </c>
      <c r="F19" s="82">
        <v>1</v>
      </c>
      <c r="G19" s="82">
        <v>2</v>
      </c>
    </row>
    <row r="20" spans="1:12" x14ac:dyDescent="0.35">
      <c r="B20" s="83" t="s">
        <v>433</v>
      </c>
      <c r="C20" s="87">
        <f>DCF!$C$67+C19*$C$5</f>
        <v>20</v>
      </c>
      <c r="D20" s="87">
        <f>DCF!$C$67+D19*$C$5</f>
        <v>22.5</v>
      </c>
      <c r="E20" s="87">
        <f>DCF!$C$67+E19*$C$5</f>
        <v>25</v>
      </c>
      <c r="F20" s="87">
        <f>DCF!$C$67+F19*$C$5</f>
        <v>27.5</v>
      </c>
      <c r="G20" s="87">
        <f>DCF!$C$67+G19*$C$5</f>
        <v>30</v>
      </c>
    </row>
    <row r="21" spans="1:12" x14ac:dyDescent="0.35">
      <c r="A21" s="81" t="s">
        <v>431</v>
      </c>
      <c r="B21" s="85">
        <f>DCF!$C$15+(-2)*$C$3</f>
        <v>0.10269500000000001</v>
      </c>
      <c r="C21" s="53">
        <f>(SUMPRODUCT(DCF!$H$29:$L$29/(1+$B21)^DCF!$H$30:$L$30)+DCF!$C$68*C$20/(1+$B21)^DCF!$L$30+DCF!$C$81)/DCF!$C$61</f>
        <v>2407.4926978939407</v>
      </c>
      <c r="D21" s="53">
        <f>(SUMPRODUCT(DCF!$H$29:$L$29/(1+$B21)^DCF!$H$30:$L$30)+DCF!$C$68*D$20/(1+$B21)^DCF!$L$30+DCF!$C$81)/DCF!$C$61</f>
        <v>2701.6448846930853</v>
      </c>
      <c r="E21" s="53">
        <f>(SUMPRODUCT(DCF!$H$29:$L$29/(1+$B21)^DCF!$H$30:$L$30)+DCF!$C$68*E$20/(1+$B21)^DCF!$L$30+DCF!$C$81)/DCF!$C$61</f>
        <v>2995.7970714922294</v>
      </c>
      <c r="F21" s="53">
        <f>(SUMPRODUCT(DCF!$H$29:$L$29/(1+$B21)^DCF!$H$30:$L$30)+DCF!$C$68*F$20/(1+$B21)^DCF!$L$30+DCF!$C$81)/DCF!$C$61</f>
        <v>3289.9492582913736</v>
      </c>
      <c r="G21" s="53">
        <f>(SUMPRODUCT(DCF!$H$29:$L$29/(1+$B21)^DCF!$H$30:$L$30)+DCF!$C$68*G$20/(1+$B21)^DCF!$L$30+DCF!$C$81)/DCF!$C$61</f>
        <v>3584.1014450905182</v>
      </c>
    </row>
    <row r="22" spans="1:12" x14ac:dyDescent="0.35">
      <c r="A22" s="81"/>
      <c r="B22" s="85">
        <f>DCF!$C$15+(-1)*$C$3</f>
        <v>0.107695</v>
      </c>
      <c r="C22" s="53">
        <f>(SUMPRODUCT(DCF!$H$29:$L$29/(1+$B22)^DCF!$H$30:$L$30)+DCF!$C$68*C$20/(1+$B22)^DCF!$L$30+DCF!$C$81)/DCF!$C$61</f>
        <v>2352.4879918602751</v>
      </c>
      <c r="D22" s="53">
        <f>(SUMPRODUCT(DCF!$H$29:$L$29/(1+$B22)^DCF!$H$30:$L$30)+DCF!$C$68*D$20/(1+$B22)^DCF!$L$30+DCF!$C$81)/DCF!$C$61</f>
        <v>2640.0610072176828</v>
      </c>
      <c r="E22" s="53">
        <f>(SUMPRODUCT(DCF!$H$29:$L$29/(1+$B22)^DCF!$H$30:$L$30)+DCF!$C$68*E$20/(1+$B22)^DCF!$L$30+DCF!$C$81)/DCF!$C$61</f>
        <v>2927.6340225750901</v>
      </c>
      <c r="F22" s="53">
        <f>(SUMPRODUCT(DCF!$H$29:$L$29/(1+$B22)^DCF!$H$30:$L$30)+DCF!$C$68*F$20/(1+$B22)^DCF!$L$30+DCF!$C$81)/DCF!$C$61</f>
        <v>3215.2070379324982</v>
      </c>
      <c r="G22" s="53">
        <f>(SUMPRODUCT(DCF!$H$29:$L$29/(1+$B22)^DCF!$H$30:$L$30)+DCF!$C$68*G$20/(1+$B22)^DCF!$L$30+DCF!$C$81)/DCF!$C$61</f>
        <v>3502.7800532899059</v>
      </c>
    </row>
    <row r="23" spans="1:12" x14ac:dyDescent="0.35">
      <c r="A23" s="81"/>
      <c r="B23" s="85">
        <f>DCF!$C$15+(0)*$C$3</f>
        <v>0.112695</v>
      </c>
      <c r="C23" s="53">
        <f>(SUMPRODUCT(DCF!$H$29:$L$29/(1+$B23)^DCF!$H$30:$L$30)+DCF!$C$68*C$20/(1+$B23)^DCF!$L$30+DCF!$C$81)/DCF!$C$61</f>
        <v>2298.9412453296036</v>
      </c>
      <c r="D23" s="53">
        <f>(SUMPRODUCT(DCF!$H$29:$L$29/(1+$B23)^DCF!$H$30:$L$30)+DCF!$C$68*D$20/(1+$B23)^DCF!$L$30+DCF!$C$81)/DCF!$C$61</f>
        <v>2580.1108857754507</v>
      </c>
      <c r="E23" s="86">
        <f>(SUMPRODUCT(DCF!$H$29:$L$29/(1+$B23)^DCF!$H$30:$L$30)+DCF!$C$68*E$20/(1+$B23)^DCF!$L$30+DCF!$C$81)/DCF!$C$61</f>
        <v>2861.2805262212987</v>
      </c>
      <c r="F23" s="53">
        <f>(SUMPRODUCT(DCF!$H$29:$L$29/(1+$B23)^DCF!$H$30:$L$30)+DCF!$C$68*F$20/(1+$B23)^DCF!$L$30+DCF!$C$81)/DCF!$C$61</f>
        <v>3142.4501666671463</v>
      </c>
      <c r="G23" s="53">
        <f>(SUMPRODUCT(DCF!$H$29:$L$29/(1+$B23)^DCF!$H$30:$L$30)+DCF!$C$68*G$20/(1+$B23)^DCF!$L$30+DCF!$C$81)/DCF!$C$61</f>
        <v>3423.6198071129938</v>
      </c>
    </row>
    <row r="24" spans="1:12" x14ac:dyDescent="0.35">
      <c r="A24" s="81"/>
      <c r="B24" s="85">
        <f>DCF!$C$15+(1)*$C$3</f>
        <v>0.11769500000000001</v>
      </c>
      <c r="C24" s="53">
        <f>(SUMPRODUCT(DCF!$H$29:$L$29/(1+$B24)^DCF!$H$30:$L$30)+DCF!$C$68*C$20/(1+$B24)^DCF!$L$30+DCF!$C$81)/DCF!$C$61</f>
        <v>2246.8074062570918</v>
      </c>
      <c r="D24" s="53">
        <f>(SUMPRODUCT(DCF!$H$29:$L$29/(1+$B24)^DCF!$H$30:$L$30)+DCF!$C$68*D$20/(1+$B24)^DCF!$L$30+DCF!$C$81)/DCF!$C$61</f>
        <v>2521.7440124572222</v>
      </c>
      <c r="E24" s="53">
        <f>(SUMPRODUCT(DCF!$H$29:$L$29/(1+$B24)^DCF!$H$30:$L$30)+DCF!$C$68*E$20/(1+$B24)^DCF!$L$30+DCF!$C$81)/DCF!$C$61</f>
        <v>2796.6806186573522</v>
      </c>
      <c r="F24" s="53">
        <f>(SUMPRODUCT(DCF!$H$29:$L$29/(1+$B24)^DCF!$H$30:$L$30)+DCF!$C$68*F$20/(1+$B24)^DCF!$L$30+DCF!$C$81)/DCF!$C$61</f>
        <v>3071.6172248574826</v>
      </c>
      <c r="G24" s="53">
        <f>(SUMPRODUCT(DCF!$H$29:$L$29/(1+$B24)^DCF!$H$30:$L$30)+DCF!$C$68*G$20/(1+$B24)^DCF!$L$30+DCF!$C$81)/DCF!$C$61</f>
        <v>3346.5538310576121</v>
      </c>
    </row>
    <row r="25" spans="1:12" x14ac:dyDescent="0.35">
      <c r="A25" s="81"/>
      <c r="B25" s="85">
        <f>DCF!$C$15+(2)*$C$3</f>
        <v>0.122695</v>
      </c>
      <c r="C25" s="53">
        <f>(SUMPRODUCT(DCF!$H$29:$L$29/(1+$B25)^DCF!$H$30:$L$30)+DCF!$C$68*C$20/(1+$B25)^DCF!$L$30+DCF!$C$81)/DCF!$C$61</f>
        <v>2196.0430091518747</v>
      </c>
      <c r="D25" s="53">
        <f>(SUMPRODUCT(DCF!$H$29:$L$29/(1+$B25)^DCF!$H$30:$L$30)+DCF!$C$68*D$20/(1+$B25)^DCF!$L$30+DCF!$C$81)/DCF!$C$61</f>
        <v>2464.911658564768</v>
      </c>
      <c r="E25" s="53">
        <f>(SUMPRODUCT(DCF!$H$29:$L$29/(1+$B25)^DCF!$H$30:$L$30)+DCF!$C$68*E$20/(1+$B25)^DCF!$L$30+DCF!$C$81)/DCF!$C$61</f>
        <v>2733.7803079776604</v>
      </c>
      <c r="F25" s="53">
        <f>(SUMPRODUCT(DCF!$H$29:$L$29/(1+$B25)^DCF!$H$30:$L$30)+DCF!$C$68*F$20/(1+$B25)^DCF!$L$30+DCF!$C$81)/DCF!$C$61</f>
        <v>3002.6489573905537</v>
      </c>
      <c r="G25" s="53">
        <f>(SUMPRODUCT(DCF!$H$29:$L$29/(1+$B25)^DCF!$H$30:$L$30)+DCF!$C$68*G$20/(1+$B25)^DCF!$L$30+DCF!$C$81)/DCF!$C$61</f>
        <v>3271.5176068034466</v>
      </c>
    </row>
    <row r="26" spans="1:12" x14ac:dyDescent="0.35">
      <c r="A26" s="62" t="s">
        <v>434</v>
      </c>
      <c r="C26" s="25">
        <f>Inputs!$C$9</f>
        <v>4798.5</v>
      </c>
    </row>
    <row r="29" spans="1:12" x14ac:dyDescent="0.35">
      <c r="A29" s="29" t="s">
        <v>435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</row>
    <row r="30" spans="1:12" x14ac:dyDescent="0.35">
      <c r="C30" s="37" t="s">
        <v>436</v>
      </c>
      <c r="H30" s="37" t="s">
        <v>374</v>
      </c>
      <c r="I30" s="37" t="s">
        <v>375</v>
      </c>
      <c r="J30" s="37" t="s">
        <v>376</v>
      </c>
      <c r="K30" s="37" t="s">
        <v>377</v>
      </c>
      <c r="L30" s="37" t="s">
        <v>378</v>
      </c>
    </row>
    <row r="31" spans="1:12" x14ac:dyDescent="0.35">
      <c r="A31" s="5" t="str">
        <f>"g = "&amp;TEXT($C$10,"0.0%")&amp;": NOPAT growth"</f>
        <v>g = 4.0%: NOPAT growth</v>
      </c>
      <c r="H31" s="68">
        <f>IS!$L$6+($C$10-IS!$L$6)*1/6</f>
        <v>9.8333333333333328E-2</v>
      </c>
      <c r="I31" s="68">
        <f>IS!$L$6+($C$10-IS!$L$6)*2/6</f>
        <v>8.666666666666667E-2</v>
      </c>
      <c r="J31" s="68">
        <f>IS!$L$6+($C$10-IS!$L$6)*3/6</f>
        <v>7.4999999999999997E-2</v>
      </c>
      <c r="K31" s="68">
        <f>IS!$L$6+($C$10-IS!$L$6)*4/6</f>
        <v>6.3333333333333325E-2</v>
      </c>
      <c r="L31" s="68">
        <f>IS!$L$6+($C$10-IS!$L$6)*5/6</f>
        <v>5.1666666666666659E-2</v>
      </c>
    </row>
    <row r="32" spans="1:12" x14ac:dyDescent="0.35">
      <c r="A32" s="5" t="s">
        <v>437</v>
      </c>
      <c r="H32" s="53">
        <f>DCF!$L$24*(1+H31)</f>
        <v>11569.557691690976</v>
      </c>
      <c r="I32" s="53">
        <f>H32*(1+I31)</f>
        <v>12572.252691637526</v>
      </c>
      <c r="J32" s="53">
        <f>I32*(1+J31)</f>
        <v>13515.171643510341</v>
      </c>
      <c r="K32" s="53">
        <f>J32*(1+K31)</f>
        <v>14371.132514265995</v>
      </c>
      <c r="L32" s="53">
        <f>K32*(1+L31)</f>
        <v>15113.641027503072</v>
      </c>
    </row>
    <row r="33" spans="1:12" x14ac:dyDescent="0.35">
      <c r="A33" s="5" t="s">
        <v>438</v>
      </c>
      <c r="C33" s="53">
        <f>L32*(1+$C$10)*(1-$C$10/DCF!$C$46)</f>
        <v>12574.549334882557</v>
      </c>
      <c r="H33" s="53">
        <f>H32*(1-H31/DCF!$C$46)</f>
        <v>5881.191826609579</v>
      </c>
      <c r="I33" s="53">
        <f>I32*(1-I31/DCF!$C$46)</f>
        <v>7124.2765252612644</v>
      </c>
      <c r="J33" s="53">
        <f>J32*(1-J31/DCF!$C$46)</f>
        <v>8446.9822771939635</v>
      </c>
      <c r="K33" s="53">
        <f>K32*(1-K31/DCF!$C$46)</f>
        <v>9820.2738847484306</v>
      </c>
      <c r="L33" s="53">
        <f>L32*(1-L31/DCF!$C$46)</f>
        <v>11209.283762064779</v>
      </c>
    </row>
    <row r="34" spans="1:12" x14ac:dyDescent="0.35">
      <c r="A34" s="5" t="str">
        <f>"g = "&amp;TEXT($D$10,"0.0%")&amp;": NOPAT growth"</f>
        <v>g = 4.5%: NOPAT growth</v>
      </c>
      <c r="H34" s="68">
        <f>IS!$L$6+($D$10-IS!$L$6)*1/6</f>
        <v>9.9166666666666667E-2</v>
      </c>
      <c r="I34" s="68">
        <f>IS!$L$6+($D$10-IS!$L$6)*2/6</f>
        <v>8.8333333333333333E-2</v>
      </c>
      <c r="J34" s="68">
        <f>IS!$L$6+($D$10-IS!$L$6)*3/6</f>
        <v>7.7499999999999999E-2</v>
      </c>
      <c r="K34" s="68">
        <f>IS!$L$6+($D$10-IS!$L$6)*4/6</f>
        <v>6.6666666666666666E-2</v>
      </c>
      <c r="L34" s="68">
        <f>IS!$L$6+($D$10-IS!$L$6)*5/6</f>
        <v>5.5833333333333332E-2</v>
      </c>
    </row>
    <row r="35" spans="1:12" x14ac:dyDescent="0.35">
      <c r="A35" s="5" t="s">
        <v>437</v>
      </c>
      <c r="H35" s="53">
        <f>DCF!$L$24*(1+H34)</f>
        <v>11578.335808300755</v>
      </c>
      <c r="I35" s="53">
        <f>H35*(1+I34)</f>
        <v>12601.088804700656</v>
      </c>
      <c r="J35" s="53">
        <f>I35*(1+J34)</f>
        <v>13577.673187064955</v>
      </c>
      <c r="K35" s="53">
        <f>J35*(1+K34)</f>
        <v>14482.851399535952</v>
      </c>
      <c r="L35" s="53">
        <f>K35*(1+L34)</f>
        <v>15291.477269343377</v>
      </c>
    </row>
    <row r="36" spans="1:12" x14ac:dyDescent="0.35">
      <c r="A36" s="5" t="s">
        <v>438</v>
      </c>
      <c r="C36" s="53">
        <f>L35*(1+$D$10)*(1-$D$10/DCF!$C$46)</f>
        <v>12384.185153509467</v>
      </c>
      <c r="H36" s="53">
        <f>H35*(1-H34/DCF!$C$46)</f>
        <v>5837.4109700182971</v>
      </c>
      <c r="I36" s="53">
        <f>I35*(1-I34/DCF!$C$46)</f>
        <v>7035.6079159578667</v>
      </c>
      <c r="J36" s="53">
        <f>J35*(1-J34/DCF!$C$46)</f>
        <v>8316.3248270772856</v>
      </c>
      <c r="K36" s="53">
        <f>K35*(1-K34/DCF!$C$46)</f>
        <v>9655.2342663573017</v>
      </c>
      <c r="L36" s="53">
        <f>L35*(1-L34/DCF!$C$46)</f>
        <v>11022.606531651685</v>
      </c>
    </row>
    <row r="37" spans="1:12" x14ac:dyDescent="0.35">
      <c r="A37" s="5" t="str">
        <f>"g = "&amp;TEXT($E$10,"0.0%")&amp;": NOPAT growth"</f>
        <v>g = 5.0%: NOPAT growth</v>
      </c>
      <c r="H37" s="68">
        <f>IS!$L$6+($E$10-IS!$L$6)*1/6</f>
        <v>0.1</v>
      </c>
      <c r="I37" s="68">
        <f>IS!$L$6+($E$10-IS!$L$6)*2/6</f>
        <v>0.09</v>
      </c>
      <c r="J37" s="68">
        <f>IS!$L$6+($E$10-IS!$L$6)*3/6</f>
        <v>0.08</v>
      </c>
      <c r="K37" s="68">
        <f>IS!$L$6+($E$10-IS!$L$6)*4/6</f>
        <v>7.0000000000000007E-2</v>
      </c>
      <c r="L37" s="68">
        <f>IS!$L$6+($E$10-IS!$L$6)*5/6</f>
        <v>6.0000000000000005E-2</v>
      </c>
    </row>
    <row r="38" spans="1:12" x14ac:dyDescent="0.35">
      <c r="A38" s="5" t="s">
        <v>437</v>
      </c>
      <c r="H38" s="53">
        <f>DCF!$L$24*(1+H37)</f>
        <v>11587.113924910536</v>
      </c>
      <c r="I38" s="53">
        <f>H38*(1+I37)</f>
        <v>12629.954178152486</v>
      </c>
      <c r="J38" s="53">
        <f>I38*(1+J37)</f>
        <v>13640.350512404686</v>
      </c>
      <c r="K38" s="53">
        <f>J38*(1+K37)</f>
        <v>14595.175048273015</v>
      </c>
      <c r="L38" s="53">
        <f>K38*(1+L37)</f>
        <v>15470.885551169396</v>
      </c>
    </row>
    <row r="39" spans="1:12" x14ac:dyDescent="0.35">
      <c r="A39" s="5" t="s">
        <v>438</v>
      </c>
      <c r="C39" s="53">
        <f>L38*(1+$E$10)*(1-$E$10/DCF!$C$46)</f>
        <v>12183.322371545901</v>
      </c>
      <c r="H39" s="53">
        <f>H38*(1-H37/DCF!$C$46)</f>
        <v>5793.5569624552681</v>
      </c>
      <c r="I39" s="53">
        <f>I38*(1-I37/DCF!$C$46)</f>
        <v>6946.4747979838676</v>
      </c>
      <c r="J39" s="53">
        <f>J38*(1-J37/DCF!$C$46)</f>
        <v>8184.2103074428132</v>
      </c>
      <c r="K39" s="53">
        <f>K38*(1-K37/DCF!$C$46)</f>
        <v>9486.8637813774585</v>
      </c>
      <c r="L39" s="53">
        <f>L38*(1-L37/DCF!$C$46)</f>
        <v>10829.619885818576</v>
      </c>
    </row>
    <row r="40" spans="1:12" x14ac:dyDescent="0.35">
      <c r="A40" s="5" t="str">
        <f>"g = "&amp;TEXT($F$10,"0.0%")&amp;": NOPAT growth"</f>
        <v>g = 5.5%: NOPAT growth</v>
      </c>
      <c r="H40" s="68">
        <f>IS!$L$6+($F$10-IS!$L$6)*1/6</f>
        <v>0.10083333333333333</v>
      </c>
      <c r="I40" s="68">
        <f>IS!$L$6+($F$10-IS!$L$6)*2/6</f>
        <v>9.1666666666666674E-2</v>
      </c>
      <c r="J40" s="68">
        <f>IS!$L$6+($F$10-IS!$L$6)*3/6</f>
        <v>8.2500000000000004E-2</v>
      </c>
      <c r="K40" s="68">
        <f>IS!$L$6+($F$10-IS!$L$6)*4/6</f>
        <v>7.3333333333333334E-2</v>
      </c>
      <c r="L40" s="68">
        <f>IS!$L$6+($F$10-IS!$L$6)*5/6</f>
        <v>6.4166666666666664E-2</v>
      </c>
    </row>
    <row r="41" spans="1:12" x14ac:dyDescent="0.35">
      <c r="A41" s="5" t="s">
        <v>437</v>
      </c>
      <c r="H41" s="53">
        <f>DCF!$L$24*(1+H40)</f>
        <v>11595.892041520317</v>
      </c>
      <c r="I41" s="53">
        <f>H41*(1+I40)</f>
        <v>12658.848811993015</v>
      </c>
      <c r="J41" s="53">
        <f>I41*(1+J40)</f>
        <v>13703.203838982439</v>
      </c>
      <c r="K41" s="53">
        <f>J41*(1+K40)</f>
        <v>14708.10545384115</v>
      </c>
      <c r="L41" s="53">
        <f>K41*(1+L40)</f>
        <v>15651.875553795957</v>
      </c>
    </row>
    <row r="42" spans="1:12" x14ac:dyDescent="0.35">
      <c r="A42" s="5" t="s">
        <v>438</v>
      </c>
      <c r="C42" s="53">
        <f>L41*(1+$F$10)*(1-$F$10/DCF!$C$46)</f>
        <v>11971.728314209684</v>
      </c>
      <c r="H42" s="53">
        <f>H41*(1-H40/DCF!$C$46)</f>
        <v>5749.6298039204912</v>
      </c>
      <c r="I42" s="53">
        <f>I41*(1-I40/DCF!$C$46)</f>
        <v>6856.8764398295498</v>
      </c>
      <c r="J42" s="53">
        <f>J41*(1-J40/DCF!$C$46)</f>
        <v>8050.6322554021835</v>
      </c>
      <c r="K42" s="53">
        <f>K41*(1-K40/DCF!$C$46)</f>
        <v>9315.1334540993939</v>
      </c>
      <c r="L42" s="53">
        <f>L41*(1-L40/DCF!$C$46)</f>
        <v>10630.232146953087</v>
      </c>
    </row>
    <row r="43" spans="1:12" x14ac:dyDescent="0.35">
      <c r="A43" s="5" t="str">
        <f>"g = "&amp;TEXT($G$10,"0.0%")&amp;": NOPAT growth"</f>
        <v>g = 6.0%: NOPAT growth</v>
      </c>
      <c r="H43" s="68">
        <f>IS!$L$6+($G$10-IS!$L$6)*1/6</f>
        <v>0.10166666666666667</v>
      </c>
      <c r="I43" s="68">
        <f>IS!$L$6+($G$10-IS!$L$6)*2/6</f>
        <v>9.3333333333333338E-2</v>
      </c>
      <c r="J43" s="68">
        <f>IS!$L$6+($G$10-IS!$L$6)*3/6</f>
        <v>8.5000000000000006E-2</v>
      </c>
      <c r="K43" s="68">
        <f>IS!$L$6+($G$10-IS!$L$6)*4/6</f>
        <v>7.6666666666666661E-2</v>
      </c>
      <c r="L43" s="68">
        <f>IS!$L$6+($G$10-IS!$L$6)*5/6</f>
        <v>6.8333333333333329E-2</v>
      </c>
    </row>
    <row r="44" spans="1:12" x14ac:dyDescent="0.35">
      <c r="A44" s="5" t="s">
        <v>437</v>
      </c>
      <c r="H44" s="53">
        <f>DCF!$L$24*(1+H43)</f>
        <v>11604.670158130097</v>
      </c>
      <c r="I44" s="53">
        <f>H44*(1+I43)</f>
        <v>12687.772706222238</v>
      </c>
      <c r="J44" s="53">
        <f>I44*(1+J43)</f>
        <v>13766.233386251128</v>
      </c>
      <c r="K44" s="53">
        <f>J44*(1+K43)</f>
        <v>14821.644612530381</v>
      </c>
      <c r="L44" s="53">
        <f>K44*(1+L43)</f>
        <v>15834.456994386625</v>
      </c>
    </row>
    <row r="45" spans="1:12" x14ac:dyDescent="0.35">
      <c r="A45" s="5" t="s">
        <v>438</v>
      </c>
      <c r="C45" s="53">
        <f>L44*(1+$G$10)*(1-$G$10/DCF!$C$46)</f>
        <v>11749.167089834875</v>
      </c>
      <c r="H45" s="53">
        <f>H44*(1-H43/DCF!$C$46)</f>
        <v>5705.6294944139645</v>
      </c>
      <c r="I45" s="53">
        <f>I44*(1-I43/DCF!$C$46)</f>
        <v>6766.8121099851933</v>
      </c>
      <c r="J45" s="53">
        <f>J44*(1-J43/DCF!$C$46)</f>
        <v>7915.5841970943975</v>
      </c>
      <c r="K45" s="53">
        <f>K44*(1-K43/DCF!$C$46)</f>
        <v>9140.0141777270692</v>
      </c>
      <c r="L45" s="53">
        <f>L44*(1-L43/DCF!$C$46)</f>
        <v>10424.350854637863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F19"/>
  <sheetViews>
    <sheetView workbookViewId="0">
      <selection activeCell="F16" sqref="F16"/>
    </sheetView>
  </sheetViews>
  <sheetFormatPr defaultRowHeight="14.5" x14ac:dyDescent="0.35"/>
  <cols>
    <col min="1" max="1" width="52" customWidth="1"/>
    <col min="2" max="2" width="10" customWidth="1"/>
    <col min="3" max="9" width="14" customWidth="1"/>
  </cols>
  <sheetData>
    <row r="1" spans="1:6" ht="19.5" x14ac:dyDescent="0.45">
      <c r="A1" s="9" t="s">
        <v>439</v>
      </c>
    </row>
    <row r="2" spans="1:6" x14ac:dyDescent="0.35">
      <c r="A2" s="10" t="s">
        <v>440</v>
      </c>
    </row>
    <row r="4" spans="1:6" x14ac:dyDescent="0.35">
      <c r="A4" s="18" t="s">
        <v>441</v>
      </c>
      <c r="B4" s="19" t="s">
        <v>61</v>
      </c>
      <c r="C4" s="19" t="s">
        <v>442</v>
      </c>
      <c r="D4" s="19" t="s">
        <v>443</v>
      </c>
      <c r="E4" s="19" t="s">
        <v>444</v>
      </c>
      <c r="F4" s="19" t="s">
        <v>445</v>
      </c>
    </row>
    <row r="5" spans="1:6" x14ac:dyDescent="0.35">
      <c r="A5" s="5" t="s">
        <v>446</v>
      </c>
      <c r="B5" s="22" t="s">
        <v>447</v>
      </c>
      <c r="F5" s="88">
        <f>IS!L5</f>
        <v>166964.47196620796</v>
      </c>
    </row>
    <row r="6" spans="1:6" x14ac:dyDescent="0.35">
      <c r="A6" s="5" t="s">
        <v>448</v>
      </c>
      <c r="B6" s="22" t="s">
        <v>75</v>
      </c>
      <c r="F6" s="89">
        <f>(IS!L5/IS!G5)^(1/5)-1</f>
        <v>0.13773169935541363</v>
      </c>
    </row>
    <row r="7" spans="1:6" x14ac:dyDescent="0.35">
      <c r="A7" s="5" t="s">
        <v>449</v>
      </c>
      <c r="B7" s="22" t="s">
        <v>75</v>
      </c>
      <c r="F7" s="90">
        <f>IS!L15</f>
        <v>0.10199999999999997</v>
      </c>
    </row>
    <row r="8" spans="1:6" x14ac:dyDescent="0.35">
      <c r="A8" s="5" t="s">
        <v>450</v>
      </c>
      <c r="B8" s="22" t="s">
        <v>75</v>
      </c>
      <c r="F8" s="90">
        <f>IS!L18</f>
        <v>8.9231842566479036E-2</v>
      </c>
    </row>
    <row r="9" spans="1:6" x14ac:dyDescent="0.35">
      <c r="A9" s="5" t="s">
        <v>451</v>
      </c>
      <c r="B9" s="22" t="s">
        <v>447</v>
      </c>
      <c r="F9" s="88">
        <f>IS!L27</f>
        <v>10454.443706667662</v>
      </c>
    </row>
    <row r="10" spans="1:6" x14ac:dyDescent="0.35">
      <c r="A10" s="5" t="s">
        <v>452</v>
      </c>
      <c r="B10" s="22" t="s">
        <v>84</v>
      </c>
      <c r="F10" s="91">
        <f>IS!L31</f>
        <v>117.75674371105724</v>
      </c>
    </row>
    <row r="11" spans="1:6" x14ac:dyDescent="0.35">
      <c r="A11" s="5" t="s">
        <v>453</v>
      </c>
      <c r="B11" s="22" t="s">
        <v>447</v>
      </c>
      <c r="F11" s="86">
        <f>SUM(CF!H17:L17)</f>
        <v>37881.168621678749</v>
      </c>
    </row>
    <row r="12" spans="1:6" x14ac:dyDescent="0.35">
      <c r="A12" s="5" t="s">
        <v>454</v>
      </c>
      <c r="B12" s="22" t="s">
        <v>447</v>
      </c>
      <c r="F12" s="86">
        <f>SUM(CF!H37:L37)</f>
        <v>29794.540166250656</v>
      </c>
    </row>
    <row r="13" spans="1:6" x14ac:dyDescent="0.35">
      <c r="A13" s="5" t="s">
        <v>455</v>
      </c>
      <c r="B13" s="22" t="s">
        <v>447</v>
      </c>
      <c r="F13" s="88">
        <f>Schedules!L95</f>
        <v>31379.18809213541</v>
      </c>
    </row>
    <row r="14" spans="1:6" x14ac:dyDescent="0.35">
      <c r="A14" s="5" t="s">
        <v>456</v>
      </c>
      <c r="B14" s="22" t="s">
        <v>75</v>
      </c>
      <c r="F14" s="92">
        <f>DCF!$C$15</f>
        <v>0.112695</v>
      </c>
    </row>
    <row r="15" spans="1:6" x14ac:dyDescent="0.35">
      <c r="A15" s="5" t="s">
        <v>394</v>
      </c>
      <c r="B15" s="22" t="s">
        <v>447</v>
      </c>
      <c r="F15" s="88">
        <f>DCF!$C$52</f>
        <v>97505.899300089775</v>
      </c>
    </row>
    <row r="16" spans="1:6" x14ac:dyDescent="0.35">
      <c r="A16" s="5" t="s">
        <v>457</v>
      </c>
      <c r="B16" s="22" t="s">
        <v>84</v>
      </c>
      <c r="F16" s="91">
        <f>DCF!$C$62</f>
        <v>995.47081887913691</v>
      </c>
    </row>
    <row r="17" spans="1:6" x14ac:dyDescent="0.35">
      <c r="A17" s="5" t="s">
        <v>458</v>
      </c>
      <c r="B17" s="22" t="s">
        <v>84</v>
      </c>
      <c r="F17" s="91">
        <f>DCF!$C$73</f>
        <v>2861.2805262212987</v>
      </c>
    </row>
    <row r="18" spans="1:6" x14ac:dyDescent="0.35">
      <c r="A18" s="5" t="s">
        <v>405</v>
      </c>
      <c r="B18" s="22" t="s">
        <v>75</v>
      </c>
      <c r="F18" s="90">
        <f>DCF!$C$64</f>
        <v>-0.79254541650950572</v>
      </c>
    </row>
    <row r="19" spans="1:6" x14ac:dyDescent="0.35">
      <c r="A19" s="5" t="s">
        <v>459</v>
      </c>
      <c r="B19" s="22" t="s">
        <v>75</v>
      </c>
      <c r="F19" s="90">
        <f>DCF!$C$74</f>
        <v>-0.40371355085520499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M32"/>
  <sheetViews>
    <sheetView workbookViewId="0">
      <pane xSplit="2" ySplit="4" topLeftCell="C5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62" customWidth="1"/>
    <col min="2" max="12" width="11" customWidth="1"/>
    <col min="13" max="13" width="12" customWidth="1"/>
  </cols>
  <sheetData>
    <row r="1" spans="1:13" ht="19.5" x14ac:dyDescent="0.45">
      <c r="A1" s="9" t="s">
        <v>460</v>
      </c>
    </row>
    <row r="2" spans="1:13" x14ac:dyDescent="0.35">
      <c r="A2" s="10" t="s">
        <v>461</v>
      </c>
    </row>
    <row r="4" spans="1:13" x14ac:dyDescent="0.35">
      <c r="A4" s="18" t="s">
        <v>462</v>
      </c>
      <c r="B4" s="19" t="s">
        <v>463</v>
      </c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21" t="s">
        <v>67</v>
      </c>
      <c r="I4" s="21" t="s">
        <v>68</v>
      </c>
      <c r="J4" s="21" t="s">
        <v>69</v>
      </c>
      <c r="K4" s="21" t="s">
        <v>70</v>
      </c>
      <c r="L4" s="21" t="s">
        <v>71</v>
      </c>
      <c r="M4" s="19" t="s">
        <v>464</v>
      </c>
    </row>
    <row r="5" spans="1:13" x14ac:dyDescent="0.35">
      <c r="A5" s="5" t="s">
        <v>465</v>
      </c>
      <c r="B5" s="93">
        <v>0.05</v>
      </c>
      <c r="C5" s="94">
        <f>BS!C36</f>
        <v>0</v>
      </c>
      <c r="D5" s="94">
        <f>BS!D36</f>
        <v>0</v>
      </c>
      <c r="E5" s="94">
        <f>BS!E36</f>
        <v>0</v>
      </c>
      <c r="F5" s="94">
        <f>BS!F36</f>
        <v>0</v>
      </c>
      <c r="G5" s="94">
        <f>BS!G36</f>
        <v>0</v>
      </c>
      <c r="H5" s="94">
        <f>BS!H36</f>
        <v>0</v>
      </c>
      <c r="I5" s="94">
        <f>BS!I36</f>
        <v>0</v>
      </c>
      <c r="J5" s="94">
        <f>BS!J36</f>
        <v>0</v>
      </c>
      <c r="K5" s="94">
        <f>BS!K36</f>
        <v>0</v>
      </c>
      <c r="L5" s="94">
        <f>BS!L36</f>
        <v>0</v>
      </c>
      <c r="M5" s="32" t="str">
        <f t="shared" ref="M5:M21" si="0">IF(SUMPRODUCT(ABS(C5:L5))&lt;=B5,"OK","ERROR")</f>
        <v>OK</v>
      </c>
    </row>
    <row r="6" spans="1:13" x14ac:dyDescent="0.35">
      <c r="A6" s="5" t="s">
        <v>466</v>
      </c>
      <c r="B6" s="93">
        <v>0.05</v>
      </c>
      <c r="C6" s="94">
        <f>CF!C35</f>
        <v>0</v>
      </c>
      <c r="D6" s="94">
        <f>CF!D35</f>
        <v>0</v>
      </c>
      <c r="E6" s="94">
        <f>CF!E35</f>
        <v>0</v>
      </c>
      <c r="F6" s="94">
        <f>CF!F35</f>
        <v>0</v>
      </c>
      <c r="G6" s="94">
        <f>CF!G35</f>
        <v>0</v>
      </c>
      <c r="H6" s="94">
        <f>CF!H35</f>
        <v>0</v>
      </c>
      <c r="I6" s="94">
        <f>CF!I35</f>
        <v>0</v>
      </c>
      <c r="J6" s="94">
        <f>CF!J35</f>
        <v>0</v>
      </c>
      <c r="K6" s="94">
        <f>CF!K35</f>
        <v>0</v>
      </c>
      <c r="L6" s="94">
        <f>CF!L35</f>
        <v>0</v>
      </c>
      <c r="M6" s="32" t="str">
        <f t="shared" si="0"/>
        <v>OK</v>
      </c>
    </row>
    <row r="7" spans="1:13" x14ac:dyDescent="0.35">
      <c r="A7" s="5" t="s">
        <v>467</v>
      </c>
      <c r="B7" s="93">
        <v>0.05</v>
      </c>
      <c r="C7" s="79">
        <f>IS!C27-Hist_Data!C25</f>
        <v>0</v>
      </c>
      <c r="D7" s="79">
        <f>IS!D27-Hist_Data!D25</f>
        <v>0</v>
      </c>
      <c r="E7" s="79">
        <f>IS!E27-Hist_Data!E25</f>
        <v>0</v>
      </c>
      <c r="F7" s="79">
        <f>IS!F27-Hist_Data!F25</f>
        <v>0</v>
      </c>
      <c r="G7" s="79">
        <f>IS!G27-Hist_Data!G25</f>
        <v>0</v>
      </c>
      <c r="M7" s="32" t="str">
        <f t="shared" si="0"/>
        <v>OK</v>
      </c>
    </row>
    <row r="8" spans="1:13" x14ac:dyDescent="0.35">
      <c r="A8" s="5" t="s">
        <v>468</v>
      </c>
      <c r="B8" s="93">
        <v>0.05</v>
      </c>
      <c r="C8" s="79">
        <f>IS!C24-Hist_Data!C21</f>
        <v>0</v>
      </c>
      <c r="D8" s="79">
        <f>IS!D24-Hist_Data!D21</f>
        <v>0</v>
      </c>
      <c r="E8" s="79">
        <f>IS!E24-Hist_Data!E21</f>
        <v>0</v>
      </c>
      <c r="F8" s="79">
        <f>IS!F24-Hist_Data!F21</f>
        <v>0</v>
      </c>
      <c r="G8" s="79">
        <f>IS!G24-Hist_Data!G21</f>
        <v>0</v>
      </c>
      <c r="M8" s="32" t="str">
        <f t="shared" si="0"/>
        <v>OK</v>
      </c>
    </row>
    <row r="9" spans="1:13" x14ac:dyDescent="0.35">
      <c r="A9" s="5" t="s">
        <v>469</v>
      </c>
      <c r="B9" s="93">
        <v>0.05</v>
      </c>
      <c r="C9" s="79">
        <f>BS!C19-Hist_Data!C72</f>
        <v>0</v>
      </c>
      <c r="D9" s="79">
        <f>BS!D19-Hist_Data!D72</f>
        <v>0</v>
      </c>
      <c r="E9" s="79">
        <f>BS!E19-Hist_Data!E72</f>
        <v>0</v>
      </c>
      <c r="F9" s="79">
        <f>BS!F19-Hist_Data!F72</f>
        <v>0</v>
      </c>
      <c r="G9" s="79">
        <f>BS!G19-Hist_Data!G72</f>
        <v>0</v>
      </c>
      <c r="M9" s="32" t="str">
        <f t="shared" si="0"/>
        <v>OK</v>
      </c>
    </row>
    <row r="10" spans="1:13" x14ac:dyDescent="0.35">
      <c r="A10" s="5" t="s">
        <v>470</v>
      </c>
      <c r="B10" s="93">
        <v>0.05</v>
      </c>
      <c r="C10" s="79">
        <f>BS!C33-Hist_Data!C76</f>
        <v>0</v>
      </c>
      <c r="D10" s="79">
        <f>BS!D33-Hist_Data!D76</f>
        <v>0</v>
      </c>
      <c r="E10" s="79">
        <f>BS!E33-Hist_Data!E76</f>
        <v>0</v>
      </c>
      <c r="F10" s="79">
        <f>BS!F33-Hist_Data!F76</f>
        <v>0</v>
      </c>
      <c r="G10" s="79">
        <f>BS!G33-Hist_Data!G76</f>
        <v>0</v>
      </c>
      <c r="M10" s="32" t="str">
        <f t="shared" si="0"/>
        <v>OK</v>
      </c>
    </row>
    <row r="11" spans="1:13" x14ac:dyDescent="0.35">
      <c r="A11" s="5" t="s">
        <v>471</v>
      </c>
      <c r="B11" s="93">
        <v>0.05</v>
      </c>
      <c r="C11" s="79">
        <f>CF!C17-Hist_Data!C94</f>
        <v>0</v>
      </c>
      <c r="D11" s="79">
        <f>CF!D17-Hist_Data!D94</f>
        <v>0</v>
      </c>
      <c r="E11" s="79">
        <f>CF!E17-Hist_Data!E94</f>
        <v>0</v>
      </c>
      <c r="F11" s="79">
        <f>CF!F17-Hist_Data!F94</f>
        <v>0</v>
      </c>
      <c r="G11" s="79">
        <f>CF!G17-Hist_Data!G94</f>
        <v>0</v>
      </c>
      <c r="M11" s="32" t="str">
        <f t="shared" si="0"/>
        <v>OK</v>
      </c>
    </row>
    <row r="12" spans="1:13" x14ac:dyDescent="0.35">
      <c r="A12" s="5" t="s">
        <v>472</v>
      </c>
      <c r="B12" s="93">
        <v>0.05</v>
      </c>
      <c r="C12" s="79">
        <f>CF!C31-Hist_Data!C98</f>
        <v>0</v>
      </c>
      <c r="D12" s="79">
        <f>CF!D31-Hist_Data!D98</f>
        <v>0</v>
      </c>
      <c r="E12" s="79">
        <f>CF!E31-Hist_Data!E98</f>
        <v>0</v>
      </c>
      <c r="F12" s="79">
        <f>CF!F31-Hist_Data!F98</f>
        <v>0</v>
      </c>
      <c r="G12" s="79">
        <f>CF!G31-Hist_Data!G98</f>
        <v>0</v>
      </c>
      <c r="M12" s="32" t="str">
        <f t="shared" si="0"/>
        <v>OK</v>
      </c>
    </row>
    <row r="13" spans="1:13" x14ac:dyDescent="0.35">
      <c r="A13" s="5" t="s">
        <v>473</v>
      </c>
      <c r="B13" s="93">
        <v>0.05</v>
      </c>
      <c r="H13" s="79">
        <f>Schedules!H39-BS!H6</f>
        <v>0</v>
      </c>
      <c r="I13" s="79">
        <f>Schedules!I39-BS!I6</f>
        <v>0</v>
      </c>
      <c r="J13" s="79">
        <f>Schedules!J39-BS!J6</f>
        <v>0</v>
      </c>
      <c r="K13" s="79">
        <f>Schedules!K39-BS!K6</f>
        <v>0</v>
      </c>
      <c r="L13" s="79">
        <f>Schedules!L39-BS!L6</f>
        <v>0</v>
      </c>
      <c r="M13" s="32" t="str">
        <f t="shared" si="0"/>
        <v>OK</v>
      </c>
    </row>
    <row r="14" spans="1:13" x14ac:dyDescent="0.35">
      <c r="A14" s="5" t="s">
        <v>474</v>
      </c>
      <c r="B14" s="93">
        <v>0.05</v>
      </c>
      <c r="H14" s="79">
        <f>Schedules!H90-BS!H23</f>
        <v>0</v>
      </c>
      <c r="I14" s="79">
        <f>Schedules!I90-BS!I23</f>
        <v>0</v>
      </c>
      <c r="J14" s="79">
        <f>Schedules!J90-BS!J23</f>
        <v>0</v>
      </c>
      <c r="K14" s="79">
        <f>Schedules!K90-BS!K23</f>
        <v>0</v>
      </c>
      <c r="L14" s="79">
        <f>Schedules!L90-BS!L23</f>
        <v>0</v>
      </c>
      <c r="M14" s="32" t="str">
        <f t="shared" si="0"/>
        <v>OK</v>
      </c>
    </row>
    <row r="15" spans="1:13" x14ac:dyDescent="0.35">
      <c r="A15" s="5" t="s">
        <v>475</v>
      </c>
      <c r="B15" s="93">
        <v>0.05</v>
      </c>
      <c r="H15" s="79">
        <f>Schedules!H70-BS!H27</f>
        <v>0</v>
      </c>
      <c r="I15" s="79">
        <f>Schedules!I70-BS!I27</f>
        <v>0</v>
      </c>
      <c r="J15" s="79">
        <f>Schedules!J70-BS!J27</f>
        <v>0</v>
      </c>
      <c r="K15" s="79">
        <f>Schedules!K70-BS!K27</f>
        <v>0</v>
      </c>
      <c r="L15" s="79">
        <f>Schedules!L70-BS!L27</f>
        <v>0</v>
      </c>
      <c r="M15" s="32" t="str">
        <f t="shared" si="0"/>
        <v>OK</v>
      </c>
    </row>
    <row r="16" spans="1:13" x14ac:dyDescent="0.35">
      <c r="A16" s="5" t="s">
        <v>476</v>
      </c>
      <c r="B16" s="93">
        <v>0.05</v>
      </c>
      <c r="H16" s="79">
        <f>Schedules!H63-BS!H25</f>
        <v>0</v>
      </c>
      <c r="I16" s="79">
        <f>Schedules!I63-BS!I25</f>
        <v>0</v>
      </c>
      <c r="J16" s="79">
        <f>Schedules!J63-BS!J25</f>
        <v>0</v>
      </c>
      <c r="K16" s="79">
        <f>Schedules!K63-BS!K25</f>
        <v>0</v>
      </c>
      <c r="L16" s="79">
        <f>Schedules!L63-BS!L25</f>
        <v>0</v>
      </c>
      <c r="M16" s="32" t="str">
        <f t="shared" si="0"/>
        <v>OK</v>
      </c>
    </row>
    <row r="17" spans="1:13" x14ac:dyDescent="0.35">
      <c r="A17" s="5" t="s">
        <v>477</v>
      </c>
      <c r="B17" s="93">
        <v>0.05</v>
      </c>
      <c r="H17" s="79">
        <f>Schedules!H23-BS!H26</f>
        <v>0</v>
      </c>
      <c r="I17" s="79">
        <f>Schedules!I23-BS!I26</f>
        <v>0</v>
      </c>
      <c r="J17" s="79">
        <f>Schedules!J23-BS!J26</f>
        <v>0</v>
      </c>
      <c r="K17" s="79">
        <f>Schedules!K23-BS!K26</f>
        <v>0</v>
      </c>
      <c r="L17" s="79">
        <f>Schedules!L23-BS!L26</f>
        <v>0</v>
      </c>
      <c r="M17" s="32" t="str">
        <f t="shared" si="0"/>
        <v>OK</v>
      </c>
    </row>
    <row r="18" spans="1:13" x14ac:dyDescent="0.35">
      <c r="A18" s="5" t="s">
        <v>478</v>
      </c>
      <c r="B18" s="93">
        <v>0.05</v>
      </c>
      <c r="H18" s="79">
        <f>MIN(0,BS!H17-Schedules!H58)</f>
        <v>0</v>
      </c>
      <c r="I18" s="79">
        <f>MIN(0,BS!I17-Schedules!I58)</f>
        <v>0</v>
      </c>
      <c r="J18" s="79">
        <f>MIN(0,BS!J17-Schedules!J58)</f>
        <v>0</v>
      </c>
      <c r="K18" s="79">
        <f>MIN(0,BS!K17-Schedules!K58)</f>
        <v>-1.8189894035458565E-12</v>
      </c>
      <c r="L18" s="79">
        <f>MIN(0,BS!L17-Schedules!L58)</f>
        <v>0</v>
      </c>
      <c r="M18" s="32" t="str">
        <f t="shared" si="0"/>
        <v>OK</v>
      </c>
    </row>
    <row r="19" spans="1:13" x14ac:dyDescent="0.35">
      <c r="A19" s="5" t="s">
        <v>479</v>
      </c>
      <c r="B19" s="93">
        <v>0.05</v>
      </c>
      <c r="H19" s="79">
        <f>MIN(0,Schedules!H62)</f>
        <v>0</v>
      </c>
      <c r="I19" s="79">
        <f>MIN(0,Schedules!I62)</f>
        <v>0</v>
      </c>
      <c r="J19" s="79">
        <f>MIN(0,Schedules!J62)</f>
        <v>0</v>
      </c>
      <c r="K19" s="79">
        <f>MIN(0,Schedules!K62)</f>
        <v>0</v>
      </c>
      <c r="L19" s="79">
        <f>MIN(0,Schedules!L62)</f>
        <v>0</v>
      </c>
      <c r="M19" s="32" t="str">
        <f t="shared" si="0"/>
        <v>OK</v>
      </c>
    </row>
    <row r="20" spans="1:13" x14ac:dyDescent="0.35">
      <c r="A20" s="5" t="s">
        <v>480</v>
      </c>
      <c r="B20" s="93">
        <v>0.05</v>
      </c>
      <c r="H20" s="79">
        <f>MIN(0,IS!H17)</f>
        <v>0</v>
      </c>
      <c r="I20" s="79">
        <f>MIN(0,IS!I17)</f>
        <v>0</v>
      </c>
      <c r="J20" s="79">
        <f>MIN(0,IS!J17)</f>
        <v>0</v>
      </c>
      <c r="K20" s="79">
        <f>MIN(0,IS!K17)</f>
        <v>0</v>
      </c>
      <c r="L20" s="79">
        <f>MIN(0,IS!L17)</f>
        <v>0</v>
      </c>
      <c r="M20" s="32" t="str">
        <f t="shared" si="0"/>
        <v>OK</v>
      </c>
    </row>
    <row r="21" spans="1:13" x14ac:dyDescent="0.35">
      <c r="A21" s="5" t="s">
        <v>481</v>
      </c>
      <c r="B21" s="93">
        <v>0.05</v>
      </c>
      <c r="H21" s="79">
        <f>IF(AND(IS!H21&gt;0.5*IS!G21,IS!H21&lt;3*IS!G21),0,1)</f>
        <v>0</v>
      </c>
      <c r="I21" s="79">
        <f>IF(AND(IS!I21&gt;0.5*IS!G21,IS!I21&lt;3*IS!G21),0,1)</f>
        <v>0</v>
      </c>
      <c r="J21" s="79">
        <f>IF(AND(IS!J21&gt;0.5*IS!G21,IS!J21&lt;3*IS!G21),0,1)</f>
        <v>0</v>
      </c>
      <c r="K21" s="79">
        <f>IF(AND(IS!K21&gt;0.5*IS!G21,IS!K21&lt;3*IS!G21),0,1)</f>
        <v>0</v>
      </c>
      <c r="L21" s="79">
        <f>IF(AND(IS!L21&gt;0.5*IS!G21,IS!L21&lt;3*IS!G21),0,1)</f>
        <v>0</v>
      </c>
      <c r="M21" s="32" t="str">
        <f t="shared" si="0"/>
        <v>OK</v>
      </c>
    </row>
    <row r="23" spans="1:13" x14ac:dyDescent="0.35">
      <c r="A23" s="29" t="s">
        <v>482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x14ac:dyDescent="0.35">
      <c r="A24" s="5" t="s">
        <v>483</v>
      </c>
      <c r="B24" s="93">
        <v>0.01</v>
      </c>
      <c r="C24" s="80">
        <f>IF(OR(Inputs!$C$5=1,Inputs!$C$5=2,Inputs!$C$5=3),0,1)</f>
        <v>0</v>
      </c>
      <c r="M24" s="32" t="str">
        <f t="shared" ref="M24:M29" si="1">IF(ABS(C24)&lt;=B24,"OK","ERROR")</f>
        <v>OK</v>
      </c>
    </row>
    <row r="25" spans="1:13" x14ac:dyDescent="0.35">
      <c r="A25" s="5" t="s">
        <v>484</v>
      </c>
      <c r="B25" s="93">
        <v>0.01</v>
      </c>
      <c r="C25" s="80">
        <f>IF(OR(Inputs!$C$7=1,Inputs!$C$7=2),0,1)</f>
        <v>0</v>
      </c>
      <c r="M25" s="32" t="str">
        <f t="shared" si="1"/>
        <v>OK</v>
      </c>
    </row>
    <row r="26" spans="1:13" x14ac:dyDescent="0.35">
      <c r="A26" s="5" t="s">
        <v>485</v>
      </c>
      <c r="B26" s="93">
        <v>0.01</v>
      </c>
      <c r="C26" s="80">
        <f>IF(DCF!$C$15&gt;Inputs!$C$18,0,1)</f>
        <v>0</v>
      </c>
      <c r="M26" s="32" t="str">
        <f t="shared" si="1"/>
        <v>OK</v>
      </c>
    </row>
    <row r="27" spans="1:13" x14ac:dyDescent="0.35">
      <c r="A27" s="5" t="s">
        <v>486</v>
      </c>
      <c r="B27" s="93">
        <v>0.01</v>
      </c>
      <c r="C27" s="80">
        <f>ROUND(Sensitivity!$E$13-DCF!$C$62,2)</f>
        <v>0</v>
      </c>
      <c r="M27" s="32" t="str">
        <f t="shared" si="1"/>
        <v>OK</v>
      </c>
    </row>
    <row r="28" spans="1:13" x14ac:dyDescent="0.35">
      <c r="A28" s="5" t="s">
        <v>487</v>
      </c>
      <c r="B28" s="93">
        <v>0.01</v>
      </c>
      <c r="C28" s="80">
        <f>ROUND(Sensitivity!$E$23-DCF!$C$73,2)</f>
        <v>0</v>
      </c>
      <c r="M28" s="32" t="str">
        <f t="shared" si="1"/>
        <v>OK</v>
      </c>
    </row>
    <row r="29" spans="1:13" x14ac:dyDescent="0.35">
      <c r="A29" s="5" t="s">
        <v>488</v>
      </c>
      <c r="B29" s="93">
        <v>0.01</v>
      </c>
      <c r="C29" s="80">
        <f>ROUND(DCF!$C$60-DCF!$C$52-DCF!$C$81,2)</f>
        <v>0</v>
      </c>
      <c r="M29" s="32" t="str">
        <f t="shared" si="1"/>
        <v>OK</v>
      </c>
    </row>
    <row r="31" spans="1:13" x14ac:dyDescent="0.35">
      <c r="A31" s="4" t="s">
        <v>489</v>
      </c>
      <c r="C31" s="50">
        <f>COUNTIF(M5:M29,"ERROR")</f>
        <v>0</v>
      </c>
    </row>
    <row r="32" spans="1:13" x14ac:dyDescent="0.35">
      <c r="A32" s="4" t="s">
        <v>490</v>
      </c>
      <c r="C32" s="95" t="str">
        <f>IF(C31=0,"ALL CHECKS PASSED","INTEGRITY COMPROMISED")</f>
        <v>ALL CHECKS PASSED</v>
      </c>
    </row>
  </sheetData>
  <conditionalFormatting sqref="M5:M29">
    <cfRule type="cellIs" dxfId="1" priority="1" operator="equal">
      <formula>"OK"</formula>
    </cfRule>
    <cfRule type="cellIs" dxfId="0" priority="2" operator="equal">
      <formula>"ERROR"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W14"/>
  <sheetViews>
    <sheetView workbookViewId="0">
      <pane xSplit="2" ySplit="4" topLeftCell="C5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23" width="16" customWidth="1"/>
  </cols>
  <sheetData>
    <row r="1" spans="1:23" ht="19.5" x14ac:dyDescent="0.45">
      <c r="A1" s="9" t="s">
        <v>491</v>
      </c>
    </row>
    <row r="2" spans="1:23" x14ac:dyDescent="0.35">
      <c r="A2" s="10" t="s">
        <v>492</v>
      </c>
    </row>
    <row r="4" spans="1:23" x14ac:dyDescent="0.35">
      <c r="A4" s="18" t="s">
        <v>493</v>
      </c>
      <c r="B4" s="18" t="s">
        <v>494</v>
      </c>
      <c r="C4" s="18" t="s">
        <v>495</v>
      </c>
      <c r="D4" s="18" t="s">
        <v>496</v>
      </c>
      <c r="E4" s="18" t="s">
        <v>497</v>
      </c>
      <c r="F4" s="18" t="s">
        <v>498</v>
      </c>
      <c r="G4" s="18" t="s">
        <v>499</v>
      </c>
      <c r="H4" s="18" t="s">
        <v>500</v>
      </c>
      <c r="I4" s="18" t="s">
        <v>501</v>
      </c>
      <c r="J4" s="18" t="s">
        <v>502</v>
      </c>
      <c r="K4" s="18" t="s">
        <v>503</v>
      </c>
      <c r="L4" s="18" t="s">
        <v>504</v>
      </c>
      <c r="M4" s="18" t="s">
        <v>505</v>
      </c>
      <c r="N4" s="18" t="s">
        <v>506</v>
      </c>
      <c r="O4" s="18" t="s">
        <v>507</v>
      </c>
      <c r="P4" s="18" t="s">
        <v>508</v>
      </c>
      <c r="Q4" s="18" t="s">
        <v>509</v>
      </c>
      <c r="R4" s="18" t="s">
        <v>510</v>
      </c>
      <c r="S4" s="18" t="s">
        <v>511</v>
      </c>
      <c r="T4" s="18" t="s">
        <v>512</v>
      </c>
      <c r="U4" s="18" t="s">
        <v>513</v>
      </c>
      <c r="V4" s="18" t="s">
        <v>514</v>
      </c>
      <c r="W4" s="18" t="s">
        <v>515</v>
      </c>
    </row>
    <row r="5" spans="1:23" x14ac:dyDescent="0.35">
      <c r="A5" s="5" t="s">
        <v>62</v>
      </c>
      <c r="B5" s="5" t="s">
        <v>516</v>
      </c>
      <c r="C5" s="26">
        <f>IS!C5</f>
        <v>28799</v>
      </c>
      <c r="D5" s="26">
        <f>IS!C14</f>
        <v>3341</v>
      </c>
      <c r="E5" s="26">
        <f>IS!C17</f>
        <v>2942</v>
      </c>
      <c r="F5" s="26">
        <f>IS!C27</f>
        <v>2198</v>
      </c>
      <c r="G5" s="25">
        <f>IS!C31</f>
        <v>24.757828339716152</v>
      </c>
      <c r="H5" s="24">
        <f>IS!C9</f>
        <v>0.24855029688530852</v>
      </c>
      <c r="I5" s="24">
        <f>IS!C15</f>
        <v>0.11601097260321538</v>
      </c>
      <c r="J5" s="24">
        <f>IS!C18</f>
        <v>0.1021563248723914</v>
      </c>
      <c r="K5" s="24">
        <f>IS!C28</f>
        <v>7.632209451717073E-2</v>
      </c>
      <c r="L5" s="26">
        <f>CF!C17</f>
        <v>-724</v>
      </c>
      <c r="M5" s="26">
        <f>-CF!C19</f>
        <v>224</v>
      </c>
      <c r="N5" s="26">
        <f>CF!C37</f>
        <v>-948</v>
      </c>
      <c r="P5" s="26">
        <f>BS!C17</f>
        <v>219</v>
      </c>
      <c r="Q5" s="26">
        <f>BS!C25</f>
        <v>518</v>
      </c>
      <c r="R5" s="26">
        <f>BS!C26</f>
        <v>5398</v>
      </c>
      <c r="S5" s="26">
        <f>BS!C27</f>
        <v>1359</v>
      </c>
      <c r="T5" s="26">
        <f>Schedules!C95</f>
        <v>5687</v>
      </c>
      <c r="U5" s="25">
        <f>Schedules!C8</f>
        <v>229.53121389954254</v>
      </c>
    </row>
    <row r="6" spans="1:23" x14ac:dyDescent="0.35">
      <c r="A6" s="5" t="s">
        <v>63</v>
      </c>
      <c r="B6" s="5" t="s">
        <v>516</v>
      </c>
      <c r="C6" s="26">
        <f>IS!D5</f>
        <v>40575</v>
      </c>
      <c r="D6" s="26">
        <f>IS!D14</f>
        <v>4879</v>
      </c>
      <c r="E6" s="26">
        <f>IS!D17</f>
        <v>4438</v>
      </c>
      <c r="F6" s="26">
        <f>IS!D27</f>
        <v>3274</v>
      </c>
      <c r="G6" s="25">
        <f>IS!D31</f>
        <v>36.877675152061272</v>
      </c>
      <c r="H6" s="24">
        <f>IS!D9</f>
        <v>0.25187923598274797</v>
      </c>
      <c r="I6" s="24">
        <f>IS!D15</f>
        <v>0.12024645717806531</v>
      </c>
      <c r="J6" s="24">
        <f>IS!D18</f>
        <v>0.10937769562538509</v>
      </c>
      <c r="K6" s="24">
        <f>IS!D28</f>
        <v>8.0690080098582875E-2</v>
      </c>
      <c r="L6" s="26">
        <f>CF!D17</f>
        <v>1370</v>
      </c>
      <c r="M6" s="26">
        <f>-CF!D19</f>
        <v>432</v>
      </c>
      <c r="N6" s="26">
        <f>CF!D37</f>
        <v>938</v>
      </c>
      <c r="P6" s="26">
        <f>BS!D17</f>
        <v>232</v>
      </c>
      <c r="Q6" s="26">
        <f>BS!D25</f>
        <v>2195</v>
      </c>
      <c r="R6" s="26">
        <f>BS!D26</f>
        <v>5299</v>
      </c>
      <c r="S6" s="26">
        <f>BS!D27</f>
        <v>1873</v>
      </c>
      <c r="T6" s="26">
        <f>Schedules!D95</f>
        <v>5860</v>
      </c>
      <c r="U6" s="25">
        <f>Schedules!D8</f>
        <v>199.41228792620655</v>
      </c>
      <c r="V6" s="24">
        <f>Schedules!D93</f>
        <v>0.30832980176107738</v>
      </c>
      <c r="W6" s="24">
        <f>Schedules!D94</f>
        <v>0.19932735236536211</v>
      </c>
    </row>
    <row r="7" spans="1:23" x14ac:dyDescent="0.35">
      <c r="A7" s="5" t="s">
        <v>64</v>
      </c>
      <c r="B7" s="5" t="s">
        <v>516</v>
      </c>
      <c r="C7" s="26">
        <f>IS!E5</f>
        <v>51084</v>
      </c>
      <c r="D7" s="26">
        <f>IS!E14</f>
        <v>5292</v>
      </c>
      <c r="E7" s="26">
        <f>IS!E17</f>
        <v>4708</v>
      </c>
      <c r="F7" s="26">
        <f>IS!E27</f>
        <v>3496</v>
      </c>
      <c r="G7" s="25">
        <f>IS!E31</f>
        <v>39.37823834196891</v>
      </c>
      <c r="H7" s="24">
        <f>IS!E9</f>
        <v>0.22809490251350717</v>
      </c>
      <c r="I7" s="24">
        <f>IS!E15</f>
        <v>0.10359408033826638</v>
      </c>
      <c r="J7" s="24">
        <f>IS!E18</f>
        <v>9.2161929371231702E-2</v>
      </c>
      <c r="K7" s="24">
        <f>IS!E28</f>
        <v>6.8436300994440535E-2</v>
      </c>
      <c r="L7" s="26">
        <f>CF!E17</f>
        <v>1695</v>
      </c>
      <c r="M7" s="26">
        <f>-CF!E19</f>
        <v>691</v>
      </c>
      <c r="N7" s="26">
        <f>CF!E37</f>
        <v>1004</v>
      </c>
      <c r="P7" s="26">
        <f>BS!E17</f>
        <v>409</v>
      </c>
      <c r="Q7" s="26">
        <f>BS!E25</f>
        <v>7838</v>
      </c>
      <c r="R7" s="26">
        <f>BS!E26</f>
        <v>5341</v>
      </c>
      <c r="S7" s="26">
        <f>BS!E27</f>
        <v>2349</v>
      </c>
      <c r="T7" s="26">
        <f>Schedules!E95</f>
        <v>12336</v>
      </c>
      <c r="U7" s="25">
        <f>Schedules!E8</f>
        <v>176.34446642320958</v>
      </c>
      <c r="V7" s="24">
        <f>Schedules!E93</f>
        <v>0.32830915152368878</v>
      </c>
      <c r="W7" s="24">
        <f>Schedules!E94</f>
        <v>0.18029922299978093</v>
      </c>
    </row>
    <row r="8" spans="1:23" x14ac:dyDescent="0.35">
      <c r="A8" s="5" t="s">
        <v>65</v>
      </c>
      <c r="B8" s="5" t="s">
        <v>516</v>
      </c>
      <c r="C8" s="26">
        <f>IS!F5</f>
        <v>60456</v>
      </c>
      <c r="D8" s="26">
        <f>IS!F14</f>
        <v>5694</v>
      </c>
      <c r="E8" s="26">
        <f>IS!F17</f>
        <v>5001</v>
      </c>
      <c r="F8" s="26">
        <f>IS!F27</f>
        <v>3337</v>
      </c>
      <c r="G8" s="25">
        <f>IS!F31</f>
        <v>37.58729443568371</v>
      </c>
      <c r="H8" s="24">
        <f>IS!F9</f>
        <v>0.21503242027259495</v>
      </c>
      <c r="I8" s="24">
        <f>IS!F15</f>
        <v>9.4184200079396582E-2</v>
      </c>
      <c r="J8" s="24">
        <f>IS!F18</f>
        <v>8.2721317983326714E-2</v>
      </c>
      <c r="K8" s="24">
        <f>IS!F28</f>
        <v>5.5197168188434564E-2</v>
      </c>
      <c r="L8" s="26">
        <f>CF!F17</f>
        <v>-541</v>
      </c>
      <c r="M8" s="26">
        <f>-CF!F19</f>
        <v>494</v>
      </c>
      <c r="N8" s="26">
        <f>CF!F37</f>
        <v>-1035</v>
      </c>
      <c r="P8" s="26">
        <f>BS!F17</f>
        <v>407</v>
      </c>
      <c r="Q8" s="26">
        <f>BS!F25</f>
        <v>10286</v>
      </c>
      <c r="R8" s="26">
        <f>BS!F26</f>
        <v>7810</v>
      </c>
      <c r="S8" s="26">
        <f>BS!F27</f>
        <v>2681</v>
      </c>
      <c r="T8" s="26">
        <f>Schedules!F95</f>
        <v>17856</v>
      </c>
      <c r="U8" s="25">
        <f>Schedules!F8</f>
        <v>216.77258934592041</v>
      </c>
      <c r="V8" s="24">
        <f>Schedules!F93</f>
        <v>0.31755245753437694</v>
      </c>
      <c r="W8" s="24">
        <f>Schedules!F94</f>
        <v>0.14372074850834496</v>
      </c>
    </row>
    <row r="9" spans="1:23" x14ac:dyDescent="0.35">
      <c r="A9" s="5" t="s">
        <v>66</v>
      </c>
      <c r="B9" s="5" t="s">
        <v>516</v>
      </c>
      <c r="C9" s="26">
        <f>IS!G5</f>
        <v>87584</v>
      </c>
      <c r="D9" s="26">
        <f>IS!G14</f>
        <v>8355</v>
      </c>
      <c r="E9" s="26">
        <f>IS!G17</f>
        <v>7529</v>
      </c>
      <c r="F9" s="26">
        <f>IS!G27</f>
        <v>5073</v>
      </c>
      <c r="G9" s="25">
        <f>IS!G31</f>
        <v>57.141248028835321</v>
      </c>
      <c r="H9" s="24">
        <f>IS!G9</f>
        <v>0.19726205699671173</v>
      </c>
      <c r="I9" s="24">
        <f>IS!G15</f>
        <v>9.5394135915235656E-2</v>
      </c>
      <c r="J9" s="24">
        <f>IS!G18</f>
        <v>8.5963189623675551E-2</v>
      </c>
      <c r="K9" s="24">
        <f>IS!G28</f>
        <v>5.792153818048959E-2</v>
      </c>
      <c r="L9" s="26">
        <f>CF!G17</f>
        <v>5590</v>
      </c>
      <c r="M9" s="26">
        <f>-CF!G19</f>
        <v>902</v>
      </c>
      <c r="N9" s="26">
        <f>CF!G37</f>
        <v>4688</v>
      </c>
      <c r="P9" s="26">
        <f>BS!G17</f>
        <v>873</v>
      </c>
      <c r="Q9" s="26">
        <f>BS!G25</f>
        <v>11378</v>
      </c>
      <c r="R9" s="26">
        <f>BS!G26</f>
        <v>16070</v>
      </c>
      <c r="S9" s="26">
        <f>BS!G27</f>
        <v>3173</v>
      </c>
      <c r="T9" s="26">
        <f>Schedules!G95</f>
        <v>26455</v>
      </c>
      <c r="U9" s="25">
        <f>Schedules!G8</f>
        <v>221.90101981310539</v>
      </c>
      <c r="V9" s="24">
        <f>Schedules!G93</f>
        <v>0.37128115051048416</v>
      </c>
      <c r="W9" s="24">
        <f>Schedules!G94</f>
        <v>0.15678912182018712</v>
      </c>
    </row>
    <row r="10" spans="1:23" x14ac:dyDescent="0.35">
      <c r="A10" s="5" t="s">
        <v>67</v>
      </c>
      <c r="B10" s="5" t="s">
        <v>517</v>
      </c>
      <c r="C10" s="26">
        <f>IS!H5</f>
        <v>103349.12</v>
      </c>
      <c r="D10" s="26">
        <f>IS!H14</f>
        <v>9921.5155200000117</v>
      </c>
      <c r="E10" s="26">
        <f>IS!H17</f>
        <v>8785.9555200000123</v>
      </c>
      <c r="F10" s="26">
        <f>IS!H27</f>
        <v>5865.4261339200093</v>
      </c>
      <c r="G10" s="25">
        <f>IS!H31</f>
        <v>66.066976052264124</v>
      </c>
      <c r="H10" s="24">
        <f>IS!H9</f>
        <v>0.19700000000000001</v>
      </c>
      <c r="I10" s="24">
        <f>IS!H15</f>
        <v>9.6000000000000113E-2</v>
      </c>
      <c r="J10" s="24">
        <f>IS!H18</f>
        <v>8.5012388300935826E-2</v>
      </c>
      <c r="K10" s="24">
        <f>IS!H28</f>
        <v>5.6753517919843045E-2</v>
      </c>
      <c r="L10" s="26">
        <f>CF!H17</f>
        <v>4433.9242476295994</v>
      </c>
      <c r="M10" s="26">
        <f>-CF!H19</f>
        <v>1240.1894399999999</v>
      </c>
      <c r="N10" s="26">
        <f>CF!H37</f>
        <v>3193.7348076295993</v>
      </c>
      <c r="O10" s="26">
        <f>DCF!H29</f>
        <v>1578.0279116295987</v>
      </c>
      <c r="P10" s="26">
        <f>BS!H17</f>
        <v>1033.4912000000004</v>
      </c>
      <c r="Q10" s="26">
        <f>BS!H25</f>
        <v>11691.929592370401</v>
      </c>
      <c r="R10" s="26">
        <f>BS!H26</f>
        <v>18507.760409599996</v>
      </c>
      <c r="S10" s="26">
        <f>BS!H27</f>
        <v>3476.7012</v>
      </c>
      <c r="T10" s="26">
        <f>Schedules!H95</f>
        <v>29025.6808019704</v>
      </c>
      <c r="U10" s="25">
        <f>Schedules!H8</f>
        <v>220</v>
      </c>
      <c r="V10" s="24">
        <f>Schedules!H93</f>
        <v>0.32674906748417765</v>
      </c>
      <c r="W10" s="24">
        <f>Schedules!H94</f>
        <v>0.14344825781968082</v>
      </c>
    </row>
    <row r="11" spans="1:23" x14ac:dyDescent="0.35">
      <c r="A11" s="5" t="s">
        <v>68</v>
      </c>
      <c r="B11" s="5" t="s">
        <v>517</v>
      </c>
      <c r="C11" s="26">
        <f>IS!I5</f>
        <v>118851.48799999998</v>
      </c>
      <c r="D11" s="26">
        <f>IS!I14</f>
        <v>11647.445823999993</v>
      </c>
      <c r="E11" s="26">
        <f>IS!I17</f>
        <v>10291.253962239993</v>
      </c>
      <c r="F11" s="26">
        <f>IS!I27</f>
        <v>6934.2101152150653</v>
      </c>
      <c r="G11" s="25">
        <f>IS!I31</f>
        <v>78.105543086450382</v>
      </c>
      <c r="H11" s="24">
        <f>IS!I9</f>
        <v>0.19800000000000001</v>
      </c>
      <c r="I11" s="24">
        <f>IS!I15</f>
        <v>9.7999999999999962E-2</v>
      </c>
      <c r="J11" s="24">
        <f>IS!I18</f>
        <v>8.6589189041032397E-2</v>
      </c>
      <c r="K11" s="24">
        <f>IS!I28</f>
        <v>5.8343485907513974E-2</v>
      </c>
      <c r="L11" s="26">
        <f>CF!I17</f>
        <v>6352.1374299298541</v>
      </c>
      <c r="M11" s="26">
        <f>-CF!I19</f>
        <v>1426.2178559999998</v>
      </c>
      <c r="N11" s="26">
        <f>CF!I37</f>
        <v>4925.9195739298539</v>
      </c>
      <c r="O11" s="26">
        <f>DCF!I29</f>
        <v>3084.0070056086488</v>
      </c>
      <c r="P11" s="26">
        <f>BS!I17</f>
        <v>1188.5148800000006</v>
      </c>
      <c r="Q11" s="26">
        <f>BS!I25</f>
        <v>10842.989050834831</v>
      </c>
      <c r="R11" s="26">
        <f>BS!I26</f>
        <v>21257.418961113424</v>
      </c>
      <c r="S11" s="26">
        <f>BS!I27</f>
        <v>3865.5748040000008</v>
      </c>
      <c r="T11" s="26">
        <f>Schedules!I95</f>
        <v>30617.665855948253</v>
      </c>
      <c r="U11" s="25">
        <f>Schedules!I8</f>
        <v>220</v>
      </c>
      <c r="V11" s="24">
        <f>Schedules!I93</f>
        <v>0.30314827104446535</v>
      </c>
      <c r="W11" s="24">
        <f>Schedules!I94</f>
        <v>0.14569084371569652</v>
      </c>
    </row>
    <row r="12" spans="1:23" x14ac:dyDescent="0.35">
      <c r="A12" s="5" t="s">
        <v>69</v>
      </c>
      <c r="B12" s="5" t="s">
        <v>517</v>
      </c>
      <c r="C12" s="26">
        <f>IS!J5</f>
        <v>134302.18143999996</v>
      </c>
      <c r="D12" s="26">
        <f>IS!J14</f>
        <v>13430.218144000002</v>
      </c>
      <c r="E12" s="26">
        <f>IS!J17</f>
        <v>11832.329601740803</v>
      </c>
      <c r="F12" s="26">
        <f>IS!J27</f>
        <v>8081.8267191962295</v>
      </c>
      <c r="G12" s="25">
        <f>IS!J31</f>
        <v>91.032064870423852</v>
      </c>
      <c r="H12" s="24">
        <f>IS!J9</f>
        <v>0.19900000000000001</v>
      </c>
      <c r="I12" s="24">
        <f>IS!J15</f>
        <v>0.10000000000000005</v>
      </c>
      <c r="J12" s="24">
        <f>IS!J18</f>
        <v>8.810228899392035E-2</v>
      </c>
      <c r="K12" s="24">
        <f>IS!J28</f>
        <v>6.0176436693299869E-2</v>
      </c>
      <c r="L12" s="26">
        <f>CF!J17</f>
        <v>7764.5456937704348</v>
      </c>
      <c r="M12" s="26">
        <f>-CF!J19</f>
        <v>1611.6261772799994</v>
      </c>
      <c r="N12" s="26">
        <f>CF!J37</f>
        <v>6152.9195164904359</v>
      </c>
      <c r="O12" s="26">
        <f>DCF!J29</f>
        <v>4096.3241432074228</v>
      </c>
      <c r="P12" s="26">
        <f>BS!J17</f>
        <v>1343.0218144</v>
      </c>
      <c r="Q12" s="26">
        <f>BS!J25</f>
        <v>9145.4513959531705</v>
      </c>
      <c r="R12" s="26">
        <f>BS!J26</f>
        <v>23990.932199841132</v>
      </c>
      <c r="S12" s="26">
        <f>BS!J27</f>
        <v>4319.5144134800012</v>
      </c>
      <c r="T12" s="26">
        <f>Schedules!J95</f>
        <v>31412.299844474299</v>
      </c>
      <c r="U12" s="25">
        <f>Schedules!J8</f>
        <v>220</v>
      </c>
      <c r="V12" s="24">
        <f>Schedules!J93</f>
        <v>0.28204826103666969</v>
      </c>
      <c r="W12" s="24">
        <f>Schedules!J94</f>
        <v>0.14793128941444583</v>
      </c>
    </row>
    <row r="13" spans="1:23" x14ac:dyDescent="0.35">
      <c r="A13" s="5" t="s">
        <v>70</v>
      </c>
      <c r="B13" s="5" t="s">
        <v>517</v>
      </c>
      <c r="C13" s="26">
        <f>IS!K5</f>
        <v>150418.44321279996</v>
      </c>
      <c r="D13" s="26">
        <f>IS!K14</f>
        <v>15192.262764492783</v>
      </c>
      <c r="E13" s="26">
        <f>IS!K17</f>
        <v>13335.739128078832</v>
      </c>
      <c r="F13" s="26">
        <f>IS!K27</f>
        <v>9233.8861343989702</v>
      </c>
      <c r="G13" s="25">
        <f>IS!K31</f>
        <v>104.00862958322787</v>
      </c>
      <c r="H13" s="24">
        <f>IS!K9</f>
        <v>0.2</v>
      </c>
      <c r="I13" s="24">
        <f>IS!K15</f>
        <v>0.10099999999999991</v>
      </c>
      <c r="J13" s="24">
        <f>IS!K18</f>
        <v>8.8657606362887942E-2</v>
      </c>
      <c r="K13" s="24">
        <f>IS!K28</f>
        <v>6.1387991639666205E-2</v>
      </c>
      <c r="L13" s="26">
        <f>CF!K17</f>
        <v>9017.7659225407424</v>
      </c>
      <c r="M13" s="26">
        <f>-CF!K19</f>
        <v>1805.0213185535995</v>
      </c>
      <c r="N13" s="26">
        <f>CF!K37</f>
        <v>7212.7446039871429</v>
      </c>
      <c r="O13" s="26">
        <f>DCF!K29</f>
        <v>4946.2399226537336</v>
      </c>
      <c r="P13" s="26">
        <f>BS!K17</f>
        <v>1504.1844321279978</v>
      </c>
      <c r="Q13" s="26">
        <f>BS!K25</f>
        <v>6791.3957781672852</v>
      </c>
      <c r="R13" s="26">
        <f>BS!K26</f>
        <v>26836.298690458996</v>
      </c>
      <c r="S13" s="26">
        <f>BS!K27</f>
        <v>4830.2105305076002</v>
      </c>
      <c r="T13" s="26">
        <f>Schedules!K95</f>
        <v>31689.075054557885</v>
      </c>
      <c r="U13" s="25">
        <f>Schedules!K8</f>
        <v>220</v>
      </c>
      <c r="V13" s="24">
        <f>Schedules!K93</f>
        <v>0.26169624984434336</v>
      </c>
      <c r="W13" s="24">
        <f>Schedules!K94</f>
        <v>0.14885010288401282</v>
      </c>
    </row>
    <row r="14" spans="1:23" x14ac:dyDescent="0.35">
      <c r="A14" s="5" t="s">
        <v>71</v>
      </c>
      <c r="B14" s="5" t="s">
        <v>517</v>
      </c>
      <c r="C14" s="26">
        <f>IS!L5</f>
        <v>166964.47196620796</v>
      </c>
      <c r="D14" s="26">
        <f>IS!L14</f>
        <v>17030.376140553206</v>
      </c>
      <c r="E14" s="26">
        <f>IS!L17</f>
        <v>14898.547476683971</v>
      </c>
      <c r="F14" s="26">
        <f>IS!L27</f>
        <v>10454.443706667662</v>
      </c>
      <c r="G14" s="25">
        <f>IS!L31</f>
        <v>117.75674371105724</v>
      </c>
      <c r="H14" s="24">
        <f>IS!L9</f>
        <v>0.2</v>
      </c>
      <c r="I14" s="24">
        <f>IS!L15</f>
        <v>0.10199999999999997</v>
      </c>
      <c r="J14" s="24">
        <f>IS!L18</f>
        <v>8.9231842566479036E-2</v>
      </c>
      <c r="K14" s="24">
        <f>IS!L28</f>
        <v>6.2614780159838693E-2</v>
      </c>
      <c r="L14" s="26">
        <f>CF!L17</f>
        <v>10312.795327808119</v>
      </c>
      <c r="M14" s="26">
        <f>-CF!L19</f>
        <v>2003.5736635944957</v>
      </c>
      <c r="N14" s="26">
        <f>CF!L37</f>
        <v>8309.2216642136227</v>
      </c>
      <c r="O14" s="26">
        <f>DCF!L29</f>
        <v>5834.3252997298823</v>
      </c>
      <c r="P14" s="26">
        <f>BS!L17</f>
        <v>1669.6447196620802</v>
      </c>
      <c r="Q14" s="26">
        <f>BS!L25</f>
        <v>3715.3909560523525</v>
      </c>
      <c r="R14" s="26">
        <f>BS!L26</f>
        <v>29788.291546409488</v>
      </c>
      <c r="S14" s="26">
        <f>BS!L27</f>
        <v>5388.9068281529317</v>
      </c>
      <c r="T14" s="26">
        <f>Schedules!L95</f>
        <v>31379.18809213541</v>
      </c>
      <c r="U14" s="25">
        <f>Schedules!L8</f>
        <v>220</v>
      </c>
      <c r="V14" s="24">
        <f>Schedules!L93</f>
        <v>0.2443124145730213</v>
      </c>
      <c r="W14" s="24">
        <f>Schedules!L94</f>
        <v>0.14953586517209769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H116"/>
  <sheetViews>
    <sheetView workbookViewId="0">
      <pane xSplit="2" ySplit="4" topLeftCell="C5" activePane="bottomRight" state="frozen"/>
      <selection activeCell="F16" sqref="F16"/>
      <selection pane="topRight" activeCell="F16" sqref="F16"/>
      <selection pane="bottomLeft" activeCell="F16" sqref="F16"/>
      <selection pane="bottomRight" activeCell="F16" sqref="F16"/>
    </sheetView>
  </sheetViews>
  <sheetFormatPr defaultRowHeight="14.5" x14ac:dyDescent="0.35"/>
  <cols>
    <col min="1" max="1" width="58" customWidth="1"/>
    <col min="2" max="2" width="8" customWidth="1"/>
    <col min="3" max="7" width="13" customWidth="1"/>
    <col min="8" max="8" width="55" customWidth="1"/>
  </cols>
  <sheetData>
    <row r="1" spans="1:8" ht="19.5" x14ac:dyDescent="0.45">
      <c r="A1" s="9" t="s">
        <v>518</v>
      </c>
    </row>
    <row r="2" spans="1:8" x14ac:dyDescent="0.35">
      <c r="A2" s="10" t="s">
        <v>519</v>
      </c>
    </row>
    <row r="4" spans="1:8" x14ac:dyDescent="0.35">
      <c r="A4" s="18" t="s">
        <v>520</v>
      </c>
      <c r="B4" s="2"/>
      <c r="C4" s="20" t="s">
        <v>62</v>
      </c>
      <c r="D4" s="20" t="s">
        <v>63</v>
      </c>
      <c r="E4" s="20" t="s">
        <v>64</v>
      </c>
      <c r="F4" s="20" t="s">
        <v>65</v>
      </c>
      <c r="G4" s="20" t="s">
        <v>66</v>
      </c>
      <c r="H4" s="18" t="s">
        <v>521</v>
      </c>
    </row>
    <row r="5" spans="1:8" x14ac:dyDescent="0.35">
      <c r="A5" s="29" t="s">
        <v>522</v>
      </c>
      <c r="B5" s="30"/>
      <c r="C5" s="30"/>
      <c r="D5" s="30"/>
      <c r="E5" s="30"/>
      <c r="F5" s="30"/>
      <c r="G5" s="30"/>
      <c r="H5" s="30"/>
    </row>
    <row r="6" spans="1:8" x14ac:dyDescent="0.35">
      <c r="A6" s="5" t="s">
        <v>72</v>
      </c>
      <c r="C6" s="49">
        <v>28799</v>
      </c>
      <c r="D6" s="49">
        <v>40575</v>
      </c>
      <c r="E6" s="49">
        <v>51084</v>
      </c>
      <c r="F6" s="49">
        <v>60456</v>
      </c>
      <c r="G6" s="49">
        <v>87584</v>
      </c>
      <c r="H6" s="81" t="s">
        <v>523</v>
      </c>
    </row>
    <row r="7" spans="1:8" x14ac:dyDescent="0.35">
      <c r="A7" s="5" t="s">
        <v>167</v>
      </c>
      <c r="C7" s="49">
        <v>234</v>
      </c>
      <c r="D7" s="49">
        <v>308</v>
      </c>
      <c r="E7" s="49">
        <v>533</v>
      </c>
      <c r="F7" s="49">
        <v>486</v>
      </c>
      <c r="G7" s="49">
        <v>552</v>
      </c>
      <c r="H7" s="81" t="s">
        <v>523</v>
      </c>
    </row>
    <row r="8" spans="1:8" x14ac:dyDescent="0.35">
      <c r="A8" s="4" t="s">
        <v>524</v>
      </c>
      <c r="C8" s="49">
        <v>29033</v>
      </c>
      <c r="D8" s="49">
        <v>40883</v>
      </c>
      <c r="E8" s="49">
        <v>51617</v>
      </c>
      <c r="F8" s="49">
        <v>60942</v>
      </c>
      <c r="G8" s="49">
        <v>88136</v>
      </c>
      <c r="H8" s="81" t="s">
        <v>523</v>
      </c>
    </row>
    <row r="9" spans="1:8" x14ac:dyDescent="0.35">
      <c r="A9" s="5" t="s">
        <v>525</v>
      </c>
      <c r="C9" s="49">
        <v>22108</v>
      </c>
      <c r="D9" s="49">
        <v>26891</v>
      </c>
      <c r="E9" s="49">
        <v>36104</v>
      </c>
      <c r="F9" s="49">
        <v>47708</v>
      </c>
      <c r="G9" s="49">
        <v>69212</v>
      </c>
      <c r="H9" s="81" t="s">
        <v>523</v>
      </c>
    </row>
    <row r="10" spans="1:8" x14ac:dyDescent="0.35">
      <c r="A10" s="5" t="s">
        <v>526</v>
      </c>
      <c r="C10" s="49">
        <v>4328</v>
      </c>
      <c r="D10" s="49">
        <v>5698</v>
      </c>
      <c r="E10" s="49">
        <v>5999</v>
      </c>
      <c r="F10" s="49">
        <v>7563</v>
      </c>
      <c r="G10" s="49">
        <v>11031</v>
      </c>
      <c r="H10" s="81" t="s">
        <v>523</v>
      </c>
    </row>
    <row r="11" spans="1:8" x14ac:dyDescent="0.35">
      <c r="A11" s="5" t="s">
        <v>527</v>
      </c>
      <c r="C11" s="49">
        <v>-4795</v>
      </c>
      <c r="D11" s="49">
        <v>-2234</v>
      </c>
      <c r="E11" s="49">
        <v>-2671</v>
      </c>
      <c r="F11" s="49">
        <v>-7815</v>
      </c>
      <c r="G11" s="49">
        <v>-9936</v>
      </c>
      <c r="H11" s="81" t="s">
        <v>523</v>
      </c>
    </row>
    <row r="12" spans="1:8" x14ac:dyDescent="0.35">
      <c r="A12" s="5" t="s">
        <v>160</v>
      </c>
      <c r="C12" s="49">
        <v>1349</v>
      </c>
      <c r="D12" s="49">
        <v>1647</v>
      </c>
      <c r="E12" s="49">
        <v>1864</v>
      </c>
      <c r="F12" s="49">
        <v>2156</v>
      </c>
      <c r="G12" s="49">
        <v>2681</v>
      </c>
      <c r="H12" s="81" t="s">
        <v>523</v>
      </c>
    </row>
    <row r="13" spans="1:8" x14ac:dyDescent="0.35">
      <c r="A13" s="5" t="s">
        <v>168</v>
      </c>
      <c r="C13" s="49">
        <v>218</v>
      </c>
      <c r="D13" s="49">
        <v>300</v>
      </c>
      <c r="E13" s="49">
        <v>619</v>
      </c>
      <c r="F13" s="49">
        <v>953</v>
      </c>
      <c r="G13" s="49">
        <v>1180</v>
      </c>
      <c r="H13" s="81" t="s">
        <v>523</v>
      </c>
    </row>
    <row r="14" spans="1:8" x14ac:dyDescent="0.35">
      <c r="A14" s="5" t="s">
        <v>165</v>
      </c>
      <c r="C14" s="49">
        <v>399</v>
      </c>
      <c r="D14" s="49">
        <v>441</v>
      </c>
      <c r="E14" s="49">
        <v>584</v>
      </c>
      <c r="F14" s="49">
        <v>693</v>
      </c>
      <c r="G14" s="49">
        <v>826</v>
      </c>
      <c r="H14" s="81" t="s">
        <v>523</v>
      </c>
    </row>
    <row r="15" spans="1:8" x14ac:dyDescent="0.35">
      <c r="A15" s="5" t="s">
        <v>528</v>
      </c>
      <c r="C15" s="49">
        <v>2468</v>
      </c>
      <c r="D15" s="49">
        <v>3694</v>
      </c>
      <c r="E15" s="49">
        <v>4496</v>
      </c>
      <c r="F15" s="49">
        <v>5150</v>
      </c>
      <c r="G15" s="49">
        <v>6241</v>
      </c>
      <c r="H15" s="81" t="s">
        <v>523</v>
      </c>
    </row>
    <row r="16" spans="1:8" x14ac:dyDescent="0.35">
      <c r="A16" s="4" t="s">
        <v>529</v>
      </c>
      <c r="C16" s="49">
        <v>26075</v>
      </c>
      <c r="D16" s="49">
        <v>36437</v>
      </c>
      <c r="E16" s="49">
        <v>46995</v>
      </c>
      <c r="F16" s="49">
        <v>56408</v>
      </c>
      <c r="G16" s="49">
        <v>81235</v>
      </c>
      <c r="H16" s="81" t="s">
        <v>523</v>
      </c>
    </row>
    <row r="17" spans="1:8" x14ac:dyDescent="0.35">
      <c r="A17" s="5" t="s">
        <v>530</v>
      </c>
      <c r="C17" s="49">
        <v>2958</v>
      </c>
      <c r="D17" s="49">
        <v>4446</v>
      </c>
      <c r="E17" s="49">
        <v>4622</v>
      </c>
      <c r="F17" s="49">
        <v>4534</v>
      </c>
      <c r="G17" s="49">
        <v>6901</v>
      </c>
      <c r="H17" s="81" t="s">
        <v>523</v>
      </c>
    </row>
    <row r="18" spans="1:8" x14ac:dyDescent="0.35">
      <c r="A18" s="5" t="s">
        <v>531</v>
      </c>
      <c r="C18" s="49">
        <v>0</v>
      </c>
      <c r="D18" s="49">
        <v>1</v>
      </c>
      <c r="E18" s="49">
        <v>1</v>
      </c>
      <c r="F18" s="49">
        <v>1</v>
      </c>
      <c r="G18" s="49">
        <v>1</v>
      </c>
      <c r="H18" s="81" t="s">
        <v>523</v>
      </c>
    </row>
    <row r="19" spans="1:8" x14ac:dyDescent="0.35">
      <c r="A19" s="5" t="s">
        <v>532</v>
      </c>
      <c r="C19" s="49">
        <v>2958</v>
      </c>
      <c r="D19" s="49">
        <v>4447</v>
      </c>
      <c r="E19" s="49">
        <v>4623</v>
      </c>
      <c r="F19" s="49">
        <v>4535</v>
      </c>
      <c r="G19" s="49">
        <v>6902</v>
      </c>
      <c r="H19" s="81" t="s">
        <v>523</v>
      </c>
    </row>
    <row r="20" spans="1:8" x14ac:dyDescent="0.35">
      <c r="A20" s="5" t="s">
        <v>533</v>
      </c>
      <c r="C20" s="49">
        <v>54</v>
      </c>
      <c r="D20" s="49">
        <v>0</v>
      </c>
      <c r="E20" s="49">
        <v>0</v>
      </c>
      <c r="F20" s="49">
        <v>0</v>
      </c>
      <c r="G20" s="49">
        <v>101</v>
      </c>
      <c r="H20" s="81" t="s">
        <v>523</v>
      </c>
    </row>
    <row r="21" spans="1:8" x14ac:dyDescent="0.35">
      <c r="A21" s="5" t="s">
        <v>534</v>
      </c>
      <c r="C21" s="49">
        <v>2904</v>
      </c>
      <c r="D21" s="49">
        <v>4447</v>
      </c>
      <c r="E21" s="49">
        <v>4623</v>
      </c>
      <c r="F21" s="49">
        <v>4535</v>
      </c>
      <c r="G21" s="49">
        <v>6801</v>
      </c>
      <c r="H21" s="81" t="s">
        <v>523</v>
      </c>
    </row>
    <row r="22" spans="1:8" x14ac:dyDescent="0.35">
      <c r="A22" s="5" t="s">
        <v>535</v>
      </c>
      <c r="C22" s="49">
        <v>786</v>
      </c>
      <c r="D22" s="49">
        <v>1147</v>
      </c>
      <c r="E22" s="49">
        <v>1101</v>
      </c>
      <c r="F22" s="49">
        <v>1183</v>
      </c>
      <c r="G22" s="49">
        <v>1740</v>
      </c>
      <c r="H22" s="81" t="s">
        <v>523</v>
      </c>
    </row>
    <row r="23" spans="1:8" x14ac:dyDescent="0.35">
      <c r="A23" s="5" t="s">
        <v>536</v>
      </c>
      <c r="C23" s="49">
        <v>-80</v>
      </c>
      <c r="D23" s="49">
        <v>26</v>
      </c>
      <c r="E23" s="49">
        <v>26</v>
      </c>
      <c r="F23" s="49">
        <v>15</v>
      </c>
      <c r="G23" s="49">
        <v>-12</v>
      </c>
      <c r="H23" s="81" t="s">
        <v>523</v>
      </c>
    </row>
    <row r="24" spans="1:8" x14ac:dyDescent="0.35">
      <c r="A24" s="4" t="s">
        <v>537</v>
      </c>
      <c r="C24" s="49">
        <v>706</v>
      </c>
      <c r="D24" s="49">
        <v>1173</v>
      </c>
      <c r="E24" s="49">
        <v>1127</v>
      </c>
      <c r="F24" s="49">
        <v>1198</v>
      </c>
      <c r="G24" s="49">
        <v>1728</v>
      </c>
      <c r="H24" s="81" t="s">
        <v>523</v>
      </c>
    </row>
    <row r="25" spans="1:8" x14ac:dyDescent="0.35">
      <c r="A25" s="5" t="s">
        <v>538</v>
      </c>
      <c r="C25" s="49">
        <v>2198</v>
      </c>
      <c r="D25" s="49">
        <v>3274</v>
      </c>
      <c r="E25" s="49">
        <v>3496</v>
      </c>
      <c r="F25" s="49">
        <v>3337</v>
      </c>
      <c r="G25" s="49">
        <v>5073</v>
      </c>
      <c r="H25" s="81" t="s">
        <v>523</v>
      </c>
    </row>
    <row r="27" spans="1:8" x14ac:dyDescent="0.35">
      <c r="A27" s="29" t="s">
        <v>539</v>
      </c>
      <c r="B27" s="30"/>
      <c r="C27" s="30"/>
      <c r="D27" s="30"/>
      <c r="E27" s="30"/>
      <c r="F27" s="30"/>
      <c r="G27" s="30"/>
      <c r="H27" s="30"/>
    </row>
    <row r="28" spans="1:8" x14ac:dyDescent="0.35">
      <c r="A28" s="5" t="s">
        <v>540</v>
      </c>
      <c r="C28" s="49">
        <v>1218</v>
      </c>
      <c r="D28" s="49">
        <v>1343</v>
      </c>
      <c r="E28" s="49">
        <v>1737</v>
      </c>
      <c r="F28" s="49">
        <v>1854</v>
      </c>
      <c r="G28" s="49">
        <v>2684</v>
      </c>
      <c r="H28" s="81" t="s">
        <v>541</v>
      </c>
    </row>
    <row r="29" spans="1:8" x14ac:dyDescent="0.35">
      <c r="A29" s="5" t="s">
        <v>542</v>
      </c>
      <c r="C29" s="49">
        <v>69</v>
      </c>
      <c r="D29" s="49">
        <v>133</v>
      </c>
      <c r="E29" s="49">
        <v>88</v>
      </c>
      <c r="F29" s="49">
        <v>93</v>
      </c>
      <c r="G29" s="49">
        <v>135</v>
      </c>
      <c r="H29" s="81" t="s">
        <v>541</v>
      </c>
    </row>
    <row r="30" spans="1:8" x14ac:dyDescent="0.35">
      <c r="A30" s="5" t="s">
        <v>543</v>
      </c>
      <c r="C30" s="49">
        <v>973</v>
      </c>
      <c r="D30" s="49">
        <v>1285</v>
      </c>
      <c r="E30" s="49">
        <v>1543</v>
      </c>
      <c r="F30" s="49">
        <v>1774</v>
      </c>
      <c r="G30" s="49">
        <v>2195</v>
      </c>
      <c r="H30" s="81" t="s">
        <v>541</v>
      </c>
    </row>
    <row r="31" spans="1:8" x14ac:dyDescent="0.35">
      <c r="A31" s="5" t="s">
        <v>544</v>
      </c>
      <c r="C31" s="49">
        <v>1</v>
      </c>
      <c r="D31" s="49">
        <v>1</v>
      </c>
      <c r="E31" s="49">
        <v>1</v>
      </c>
      <c r="F31" s="49">
        <v>1</v>
      </c>
      <c r="G31" s="49">
        <v>136</v>
      </c>
      <c r="H31" s="81" t="s">
        <v>541</v>
      </c>
    </row>
    <row r="32" spans="1:8" x14ac:dyDescent="0.35">
      <c r="A32" s="5" t="s">
        <v>182</v>
      </c>
      <c r="C32" s="49">
        <v>123</v>
      </c>
      <c r="D32" s="49">
        <v>123</v>
      </c>
      <c r="E32" s="49">
        <v>123</v>
      </c>
      <c r="F32" s="49">
        <v>123</v>
      </c>
      <c r="G32" s="49">
        <v>758</v>
      </c>
      <c r="H32" s="81" t="s">
        <v>541</v>
      </c>
    </row>
    <row r="33" spans="1:8" x14ac:dyDescent="0.35">
      <c r="A33" s="5" t="s">
        <v>183</v>
      </c>
      <c r="C33" s="49">
        <v>229</v>
      </c>
      <c r="D33" s="49">
        <v>246</v>
      </c>
      <c r="E33" s="49">
        <v>305</v>
      </c>
      <c r="F33" s="49">
        <v>310</v>
      </c>
      <c r="G33" s="49">
        <v>1105</v>
      </c>
      <c r="H33" s="81" t="s">
        <v>541</v>
      </c>
    </row>
    <row r="34" spans="1:8" x14ac:dyDescent="0.35">
      <c r="A34" s="5" t="s">
        <v>545</v>
      </c>
      <c r="C34" s="49">
        <v>16</v>
      </c>
      <c r="D34" s="49">
        <v>11</v>
      </c>
      <c r="E34" s="49">
        <v>9</v>
      </c>
      <c r="F34" s="49">
        <v>12</v>
      </c>
      <c r="G34" s="49">
        <v>28</v>
      </c>
      <c r="H34" s="81" t="s">
        <v>541</v>
      </c>
    </row>
    <row r="35" spans="1:8" x14ac:dyDescent="0.35">
      <c r="A35" s="5" t="s">
        <v>546</v>
      </c>
      <c r="C35" s="49">
        <v>0</v>
      </c>
      <c r="D35" s="49">
        <v>0</v>
      </c>
      <c r="E35" s="49">
        <v>0</v>
      </c>
      <c r="F35" s="49">
        <v>0</v>
      </c>
      <c r="G35" s="49">
        <v>152</v>
      </c>
      <c r="H35" s="81" t="s">
        <v>541</v>
      </c>
    </row>
    <row r="36" spans="1:8" x14ac:dyDescent="0.35">
      <c r="A36" s="5" t="s">
        <v>184</v>
      </c>
      <c r="C36" s="49">
        <v>279</v>
      </c>
      <c r="D36" s="49">
        <v>351</v>
      </c>
      <c r="E36" s="49">
        <v>679</v>
      </c>
      <c r="F36" s="49">
        <v>651</v>
      </c>
      <c r="G36" s="49">
        <v>1105</v>
      </c>
      <c r="H36" s="81" t="s">
        <v>541</v>
      </c>
    </row>
    <row r="37" spans="1:8" x14ac:dyDescent="0.35">
      <c r="A37" s="5" t="s">
        <v>547</v>
      </c>
      <c r="C37" s="49">
        <v>42</v>
      </c>
      <c r="D37" s="49">
        <v>54</v>
      </c>
      <c r="E37" s="49">
        <v>72</v>
      </c>
      <c r="F37" s="49">
        <v>62</v>
      </c>
      <c r="G37" s="49">
        <v>66</v>
      </c>
      <c r="H37" s="81" t="s">
        <v>541</v>
      </c>
    </row>
    <row r="38" spans="1:8" x14ac:dyDescent="0.35">
      <c r="A38" s="5" t="s">
        <v>548</v>
      </c>
      <c r="C38" s="49">
        <v>382</v>
      </c>
      <c r="D38" s="49">
        <v>595</v>
      </c>
      <c r="E38" s="49">
        <v>788</v>
      </c>
      <c r="F38" s="49">
        <v>868</v>
      </c>
      <c r="G38" s="49">
        <v>982</v>
      </c>
      <c r="H38" s="81" t="s">
        <v>541</v>
      </c>
    </row>
    <row r="39" spans="1:8" x14ac:dyDescent="0.35">
      <c r="A39" s="5" t="s">
        <v>549</v>
      </c>
      <c r="C39" s="49">
        <v>187</v>
      </c>
      <c r="D39" s="49">
        <v>158</v>
      </c>
      <c r="E39" s="49">
        <v>187</v>
      </c>
      <c r="F39" s="49">
        <v>170</v>
      </c>
      <c r="G39" s="49">
        <v>173</v>
      </c>
      <c r="H39" s="81" t="s">
        <v>541</v>
      </c>
    </row>
    <row r="40" spans="1:8" x14ac:dyDescent="0.35">
      <c r="A40" s="5" t="s">
        <v>550</v>
      </c>
      <c r="C40" s="49">
        <v>137</v>
      </c>
      <c r="D40" s="49">
        <v>151</v>
      </c>
      <c r="E40" s="49">
        <v>213</v>
      </c>
      <c r="F40" s="49">
        <v>104</v>
      </c>
      <c r="G40" s="49">
        <v>107</v>
      </c>
      <c r="H40" s="81" t="s">
        <v>541</v>
      </c>
    </row>
    <row r="41" spans="1:8" x14ac:dyDescent="0.35">
      <c r="A41" s="5" t="s">
        <v>185</v>
      </c>
      <c r="C41" s="49">
        <v>84</v>
      </c>
      <c r="D41" s="49">
        <v>165</v>
      </c>
      <c r="E41" s="49">
        <v>197</v>
      </c>
      <c r="F41" s="49">
        <v>191</v>
      </c>
      <c r="G41" s="49">
        <v>154</v>
      </c>
      <c r="H41" s="81" t="s">
        <v>541</v>
      </c>
    </row>
    <row r="42" spans="1:8" x14ac:dyDescent="0.35">
      <c r="A42" s="5" t="s">
        <v>187</v>
      </c>
      <c r="C42" s="49">
        <v>13609</v>
      </c>
      <c r="D42" s="49">
        <v>16584</v>
      </c>
      <c r="E42" s="49">
        <v>19051</v>
      </c>
      <c r="F42" s="49">
        <v>28184</v>
      </c>
      <c r="G42" s="49">
        <v>42743</v>
      </c>
      <c r="H42" s="81" t="s">
        <v>541</v>
      </c>
    </row>
    <row r="43" spans="1:8" x14ac:dyDescent="0.35">
      <c r="A43" s="5" t="s">
        <v>551</v>
      </c>
      <c r="C43" s="49">
        <v>15</v>
      </c>
      <c r="D43" s="49">
        <v>2164</v>
      </c>
      <c r="E43" s="49">
        <v>1666</v>
      </c>
      <c r="F43" s="49">
        <v>1337</v>
      </c>
      <c r="G43" s="49">
        <v>2249</v>
      </c>
      <c r="H43" s="81" t="s">
        <v>541</v>
      </c>
    </row>
    <row r="44" spans="1:8" x14ac:dyDescent="0.35">
      <c r="A44" s="5" t="s">
        <v>188</v>
      </c>
      <c r="C44" s="49">
        <v>565</v>
      </c>
      <c r="D44" s="49">
        <v>674</v>
      </c>
      <c r="E44" s="49">
        <v>1018</v>
      </c>
      <c r="F44" s="49">
        <v>1068</v>
      </c>
      <c r="G44" s="49">
        <v>916</v>
      </c>
      <c r="H44" s="81" t="s">
        <v>541</v>
      </c>
    </row>
    <row r="45" spans="1:8" x14ac:dyDescent="0.35">
      <c r="A45" s="5" t="s">
        <v>191</v>
      </c>
      <c r="C45" s="49">
        <v>219</v>
      </c>
      <c r="D45" s="49">
        <v>232</v>
      </c>
      <c r="E45" s="49">
        <v>409</v>
      </c>
      <c r="F45" s="49">
        <v>407</v>
      </c>
      <c r="G45" s="49">
        <v>873</v>
      </c>
      <c r="H45" s="81" t="s">
        <v>541</v>
      </c>
    </row>
    <row r="46" spans="1:8" x14ac:dyDescent="0.35">
      <c r="A46" s="5" t="s">
        <v>552</v>
      </c>
      <c r="C46" s="49">
        <v>1354</v>
      </c>
      <c r="D46" s="49">
        <v>1111</v>
      </c>
      <c r="E46" s="49">
        <v>1117</v>
      </c>
      <c r="F46" s="49">
        <v>1177</v>
      </c>
      <c r="G46" s="49">
        <v>1044</v>
      </c>
      <c r="H46" s="81" t="s">
        <v>541</v>
      </c>
    </row>
    <row r="47" spans="1:8" x14ac:dyDescent="0.35">
      <c r="A47" s="5" t="s">
        <v>553</v>
      </c>
      <c r="C47" s="49">
        <v>423</v>
      </c>
      <c r="D47" s="49">
        <v>135</v>
      </c>
      <c r="E47" s="49">
        <v>281</v>
      </c>
      <c r="F47" s="49">
        <v>44</v>
      </c>
      <c r="G47" s="49">
        <v>51</v>
      </c>
      <c r="H47" s="81" t="s">
        <v>541</v>
      </c>
    </row>
    <row r="48" spans="1:8" x14ac:dyDescent="0.35">
      <c r="A48" s="5" t="s">
        <v>554</v>
      </c>
      <c r="C48" s="49">
        <v>291</v>
      </c>
      <c r="D48" s="49">
        <v>201</v>
      </c>
      <c r="E48" s="49">
        <v>327</v>
      </c>
      <c r="F48" s="49">
        <v>260</v>
      </c>
      <c r="G48" s="49">
        <v>672</v>
      </c>
      <c r="H48" s="81" t="s">
        <v>541</v>
      </c>
    </row>
    <row r="49" spans="1:8" x14ac:dyDescent="0.35">
      <c r="A49" s="5" t="s">
        <v>189</v>
      </c>
      <c r="C49" s="49">
        <v>978</v>
      </c>
      <c r="D49" s="49">
        <v>1288</v>
      </c>
      <c r="E49" s="49">
        <v>1721</v>
      </c>
      <c r="F49" s="49">
        <v>1957</v>
      </c>
      <c r="G49" s="49">
        <v>2233</v>
      </c>
      <c r="H49" s="81" t="s">
        <v>541</v>
      </c>
    </row>
    <row r="50" spans="1:8" x14ac:dyDescent="0.35">
      <c r="A50" s="5" t="s">
        <v>555</v>
      </c>
      <c r="C50" s="49">
        <v>0</v>
      </c>
      <c r="D50" s="49">
        <v>18</v>
      </c>
      <c r="E50" s="49">
        <v>18</v>
      </c>
      <c r="F50" s="49">
        <v>0</v>
      </c>
      <c r="G50" s="49">
        <v>0</v>
      </c>
      <c r="H50" s="81" t="s">
        <v>541</v>
      </c>
    </row>
    <row r="51" spans="1:8" x14ac:dyDescent="0.35">
      <c r="A51" s="5" t="s">
        <v>195</v>
      </c>
      <c r="C51" s="49">
        <v>89</v>
      </c>
      <c r="D51" s="49">
        <v>89</v>
      </c>
      <c r="E51" s="49">
        <v>89</v>
      </c>
      <c r="F51" s="49">
        <v>89</v>
      </c>
      <c r="G51" s="49">
        <v>89</v>
      </c>
      <c r="H51" s="81" t="s">
        <v>541</v>
      </c>
    </row>
    <row r="52" spans="1:8" x14ac:dyDescent="0.35">
      <c r="A52" s="5" t="s">
        <v>556</v>
      </c>
      <c r="C52" s="49">
        <v>9214</v>
      </c>
      <c r="D52" s="49">
        <v>11762</v>
      </c>
      <c r="E52" s="49">
        <v>9304</v>
      </c>
      <c r="F52" s="49">
        <v>11535</v>
      </c>
      <c r="G52" s="49">
        <v>15614</v>
      </c>
      <c r="H52" s="81" t="s">
        <v>541</v>
      </c>
    </row>
    <row r="53" spans="1:8" x14ac:dyDescent="0.35">
      <c r="A53" s="5" t="s">
        <v>557</v>
      </c>
      <c r="C53" s="49">
        <v>30</v>
      </c>
      <c r="D53" s="49">
        <v>53</v>
      </c>
      <c r="E53" s="49">
        <v>0</v>
      </c>
      <c r="F53" s="49">
        <v>0</v>
      </c>
      <c r="G53" s="49">
        <v>0</v>
      </c>
      <c r="H53" s="81" t="s">
        <v>541</v>
      </c>
    </row>
    <row r="54" spans="1:8" x14ac:dyDescent="0.35">
      <c r="A54" s="5" t="s">
        <v>558</v>
      </c>
      <c r="C54" s="49">
        <v>2</v>
      </c>
      <c r="D54" s="49">
        <v>0</v>
      </c>
      <c r="E54" s="49">
        <v>3302</v>
      </c>
      <c r="F54" s="49">
        <v>595</v>
      </c>
      <c r="G54" s="49">
        <v>93</v>
      </c>
      <c r="H54" s="81" t="s">
        <v>541</v>
      </c>
    </row>
    <row r="55" spans="1:8" x14ac:dyDescent="0.35">
      <c r="A55" s="5" t="s">
        <v>559</v>
      </c>
      <c r="C55" s="49">
        <v>1138</v>
      </c>
      <c r="D55" s="49">
        <v>1607</v>
      </c>
      <c r="E55" s="49">
        <v>2032</v>
      </c>
      <c r="F55" s="49">
        <v>2318</v>
      </c>
      <c r="G55" s="49">
        <v>2712</v>
      </c>
      <c r="H55" s="81" t="s">
        <v>541</v>
      </c>
    </row>
    <row r="56" spans="1:8" x14ac:dyDescent="0.35">
      <c r="A56" s="5" t="s">
        <v>560</v>
      </c>
      <c r="C56" s="49">
        <v>4</v>
      </c>
      <c r="D56" s="49">
        <v>4</v>
      </c>
      <c r="E56" s="49">
        <v>8</v>
      </c>
      <c r="F56" s="49">
        <v>6</v>
      </c>
      <c r="G56" s="49">
        <v>1876</v>
      </c>
      <c r="H56" s="81" t="s">
        <v>541</v>
      </c>
    </row>
    <row r="57" spans="1:8" x14ac:dyDescent="0.35">
      <c r="A57" s="5" t="s">
        <v>561</v>
      </c>
      <c r="C57" s="49">
        <v>198</v>
      </c>
      <c r="D57" s="49">
        <v>240</v>
      </c>
      <c r="E57" s="49">
        <v>274</v>
      </c>
      <c r="F57" s="49">
        <v>299</v>
      </c>
      <c r="G57" s="49">
        <v>375</v>
      </c>
      <c r="H57" s="81" t="s">
        <v>541</v>
      </c>
    </row>
    <row r="58" spans="1:8" x14ac:dyDescent="0.35">
      <c r="A58" s="5" t="s">
        <v>562</v>
      </c>
      <c r="C58" s="49">
        <v>6</v>
      </c>
      <c r="D58" s="49">
        <v>3</v>
      </c>
      <c r="E58" s="49">
        <v>3</v>
      </c>
      <c r="F58" s="49">
        <v>2</v>
      </c>
      <c r="G58" s="49">
        <v>0</v>
      </c>
      <c r="H58" s="81" t="s">
        <v>541</v>
      </c>
    </row>
    <row r="59" spans="1:8" x14ac:dyDescent="0.35">
      <c r="A59" s="5" t="s">
        <v>563</v>
      </c>
      <c r="C59" s="49">
        <v>1</v>
      </c>
      <c r="D59" s="49">
        <v>1</v>
      </c>
      <c r="E59" s="49">
        <v>9</v>
      </c>
      <c r="F59" s="49">
        <v>10</v>
      </c>
      <c r="G59" s="49">
        <v>9</v>
      </c>
      <c r="H59" s="81" t="s">
        <v>541</v>
      </c>
    </row>
    <row r="60" spans="1:8" x14ac:dyDescent="0.35">
      <c r="A60" s="5" t="s">
        <v>564</v>
      </c>
      <c r="C60" s="49">
        <v>516</v>
      </c>
      <c r="D60" s="49">
        <v>2195</v>
      </c>
      <c r="E60" s="49">
        <v>4536</v>
      </c>
      <c r="F60" s="49">
        <v>9691</v>
      </c>
      <c r="G60" s="49">
        <v>11285</v>
      </c>
      <c r="H60" s="81" t="s">
        <v>541</v>
      </c>
    </row>
    <row r="61" spans="1:8" x14ac:dyDescent="0.35">
      <c r="A61" s="5" t="s">
        <v>199</v>
      </c>
      <c r="C61" s="49">
        <v>5398</v>
      </c>
      <c r="D61" s="49">
        <v>5299</v>
      </c>
      <c r="E61" s="49">
        <v>5341</v>
      </c>
      <c r="F61" s="49">
        <v>7810</v>
      </c>
      <c r="G61" s="49">
        <v>16070</v>
      </c>
      <c r="H61" s="81" t="s">
        <v>541</v>
      </c>
    </row>
    <row r="62" spans="1:8" x14ac:dyDescent="0.35">
      <c r="A62" s="5" t="s">
        <v>565</v>
      </c>
      <c r="C62" s="49">
        <v>221</v>
      </c>
      <c r="D62" s="49">
        <v>266</v>
      </c>
      <c r="E62" s="49">
        <v>317</v>
      </c>
      <c r="F62" s="49">
        <v>363</v>
      </c>
      <c r="G62" s="49">
        <v>461</v>
      </c>
      <c r="H62" s="81" t="s">
        <v>541</v>
      </c>
    </row>
    <row r="63" spans="1:8" x14ac:dyDescent="0.35">
      <c r="A63" s="5" t="s">
        <v>566</v>
      </c>
      <c r="C63" s="49">
        <v>242</v>
      </c>
      <c r="D63" s="49">
        <v>181</v>
      </c>
      <c r="E63" s="49">
        <v>207</v>
      </c>
      <c r="F63" s="49">
        <v>217</v>
      </c>
      <c r="G63" s="49">
        <v>609</v>
      </c>
      <c r="H63" s="81" t="s">
        <v>541</v>
      </c>
    </row>
    <row r="64" spans="1:8" x14ac:dyDescent="0.35">
      <c r="A64" s="5" t="s">
        <v>567</v>
      </c>
      <c r="C64" s="49">
        <v>1052</v>
      </c>
      <c r="D64" s="49">
        <v>1033</v>
      </c>
      <c r="E64" s="49">
        <v>1203</v>
      </c>
      <c r="F64" s="49">
        <v>1746</v>
      </c>
      <c r="G64" s="49">
        <v>2255</v>
      </c>
      <c r="H64" s="81" t="s">
        <v>541</v>
      </c>
    </row>
    <row r="65" spans="1:8" x14ac:dyDescent="0.35">
      <c r="A65" s="5" t="s">
        <v>568</v>
      </c>
      <c r="C65" s="49">
        <v>440</v>
      </c>
      <c r="D65" s="49">
        <v>568</v>
      </c>
      <c r="E65" s="49">
        <v>670</v>
      </c>
      <c r="F65" s="49">
        <v>1330</v>
      </c>
      <c r="G65" s="49">
        <v>2530</v>
      </c>
      <c r="H65" s="81" t="s">
        <v>541</v>
      </c>
    </row>
    <row r="66" spans="1:8" x14ac:dyDescent="0.35">
      <c r="A66" s="5" t="s">
        <v>203</v>
      </c>
      <c r="C66" s="49">
        <v>2523</v>
      </c>
      <c r="D66" s="49">
        <v>3517</v>
      </c>
      <c r="E66" s="49">
        <v>4092</v>
      </c>
      <c r="F66" s="49">
        <v>4441</v>
      </c>
      <c r="G66" s="49">
        <v>6233</v>
      </c>
      <c r="H66" s="81" t="s">
        <v>541</v>
      </c>
    </row>
    <row r="67" spans="1:8" x14ac:dyDescent="0.35">
      <c r="A67" s="5" t="s">
        <v>569</v>
      </c>
      <c r="C67" s="49">
        <v>38</v>
      </c>
      <c r="D67" s="49">
        <v>132</v>
      </c>
      <c r="E67" s="49">
        <v>100</v>
      </c>
      <c r="F67" s="49">
        <v>155</v>
      </c>
      <c r="G67" s="49">
        <v>327</v>
      </c>
      <c r="H67" s="81" t="s">
        <v>541</v>
      </c>
    </row>
    <row r="68" spans="1:8" x14ac:dyDescent="0.35">
      <c r="A68" s="5" t="s">
        <v>570</v>
      </c>
      <c r="C68" s="49">
        <v>82</v>
      </c>
      <c r="D68" s="49">
        <v>73</v>
      </c>
      <c r="E68" s="49">
        <v>62</v>
      </c>
      <c r="F68" s="49">
        <v>40</v>
      </c>
      <c r="G68" s="49">
        <v>23</v>
      </c>
      <c r="H68" s="81" t="s">
        <v>541</v>
      </c>
    </row>
    <row r="69" spans="1:8" x14ac:dyDescent="0.35">
      <c r="A69" s="5" t="s">
        <v>571</v>
      </c>
      <c r="C69" s="49">
        <v>0</v>
      </c>
      <c r="D69" s="49">
        <v>0</v>
      </c>
      <c r="E69" s="49">
        <v>1</v>
      </c>
      <c r="F69" s="49">
        <v>0</v>
      </c>
      <c r="G69" s="49">
        <v>0</v>
      </c>
      <c r="H69" s="81" t="s">
        <v>541</v>
      </c>
    </row>
    <row r="70" spans="1:8" x14ac:dyDescent="0.35">
      <c r="A70" s="4" t="s">
        <v>186</v>
      </c>
      <c r="C70" s="49">
        <v>3740</v>
      </c>
      <c r="D70" s="49">
        <v>4616</v>
      </c>
      <c r="E70" s="49">
        <v>5942</v>
      </c>
      <c r="F70" s="49">
        <v>6213</v>
      </c>
      <c r="G70" s="49">
        <v>9780</v>
      </c>
      <c r="H70" s="81" t="s">
        <v>541</v>
      </c>
    </row>
    <row r="71" spans="1:8" x14ac:dyDescent="0.35">
      <c r="A71" s="4" t="s">
        <v>192</v>
      </c>
      <c r="C71" s="49">
        <v>17454</v>
      </c>
      <c r="D71" s="49">
        <v>22407</v>
      </c>
      <c r="E71" s="49">
        <v>25608</v>
      </c>
      <c r="F71" s="49">
        <v>34434</v>
      </c>
      <c r="G71" s="49">
        <v>50781</v>
      </c>
      <c r="H71" s="81" t="s">
        <v>541</v>
      </c>
    </row>
    <row r="72" spans="1:8" x14ac:dyDescent="0.35">
      <c r="A72" s="4" t="s">
        <v>572</v>
      </c>
      <c r="C72" s="49">
        <v>21194</v>
      </c>
      <c r="D72" s="49">
        <v>27023</v>
      </c>
      <c r="E72" s="49">
        <v>31550</v>
      </c>
      <c r="F72" s="49">
        <v>40647</v>
      </c>
      <c r="G72" s="49">
        <v>60561</v>
      </c>
      <c r="H72" s="81" t="s">
        <v>541</v>
      </c>
    </row>
    <row r="73" spans="1:8" x14ac:dyDescent="0.35">
      <c r="A73" s="4" t="s">
        <v>197</v>
      </c>
      <c r="C73" s="49">
        <v>9333</v>
      </c>
      <c r="D73" s="49">
        <v>11904</v>
      </c>
      <c r="E73" s="49">
        <v>9393</v>
      </c>
      <c r="F73" s="49">
        <v>11624</v>
      </c>
      <c r="G73" s="49">
        <v>15703</v>
      </c>
      <c r="H73" s="81" t="s">
        <v>541</v>
      </c>
    </row>
    <row r="74" spans="1:8" x14ac:dyDescent="0.35">
      <c r="A74" s="4" t="s">
        <v>573</v>
      </c>
      <c r="C74" s="49">
        <v>1349</v>
      </c>
      <c r="D74" s="49">
        <v>1855</v>
      </c>
      <c r="E74" s="49">
        <v>5628</v>
      </c>
      <c r="F74" s="49">
        <v>3230</v>
      </c>
      <c r="G74" s="49">
        <v>5065</v>
      </c>
      <c r="H74" s="81" t="s">
        <v>541</v>
      </c>
    </row>
    <row r="75" spans="1:8" x14ac:dyDescent="0.35">
      <c r="A75" s="4" t="s">
        <v>574</v>
      </c>
      <c r="C75" s="49">
        <v>10512</v>
      </c>
      <c r="D75" s="49">
        <v>13264</v>
      </c>
      <c r="E75" s="49">
        <v>16529</v>
      </c>
      <c r="F75" s="49">
        <v>25793</v>
      </c>
      <c r="G75" s="49">
        <v>39793</v>
      </c>
      <c r="H75" s="81" t="s">
        <v>541</v>
      </c>
    </row>
    <row r="76" spans="1:8" x14ac:dyDescent="0.35">
      <c r="A76" s="4" t="s">
        <v>206</v>
      </c>
      <c r="C76" s="49">
        <v>11861</v>
      </c>
      <c r="D76" s="49">
        <v>15119</v>
      </c>
      <c r="E76" s="49">
        <v>22157</v>
      </c>
      <c r="F76" s="49">
        <v>29023</v>
      </c>
      <c r="G76" s="49">
        <v>44858</v>
      </c>
      <c r="H76" s="81" t="s">
        <v>541</v>
      </c>
    </row>
    <row r="77" spans="1:8" x14ac:dyDescent="0.35">
      <c r="A77" s="4" t="s">
        <v>575</v>
      </c>
      <c r="C77" s="49">
        <v>21194</v>
      </c>
      <c r="D77" s="49">
        <v>27023</v>
      </c>
      <c r="E77" s="49">
        <v>31550</v>
      </c>
      <c r="F77" s="49">
        <v>40647</v>
      </c>
      <c r="G77" s="49">
        <v>60561</v>
      </c>
      <c r="H77" s="81" t="s">
        <v>541</v>
      </c>
    </row>
    <row r="79" spans="1:8" x14ac:dyDescent="0.35">
      <c r="A79" s="29" t="s">
        <v>576</v>
      </c>
      <c r="B79" s="30"/>
      <c r="C79" s="30"/>
      <c r="D79" s="30"/>
      <c r="E79" s="30"/>
      <c r="F79" s="30"/>
      <c r="G79" s="30"/>
      <c r="H79" s="30"/>
    </row>
    <row r="80" spans="1:8" x14ac:dyDescent="0.35">
      <c r="A80" s="5" t="s">
        <v>577</v>
      </c>
      <c r="C80" s="49">
        <v>2904</v>
      </c>
      <c r="D80" s="49">
        <v>4447</v>
      </c>
      <c r="E80" s="49">
        <v>4623</v>
      </c>
      <c r="F80" s="49">
        <v>4535</v>
      </c>
      <c r="G80" s="49">
        <v>6801</v>
      </c>
      <c r="H80" s="81" t="s">
        <v>578</v>
      </c>
    </row>
    <row r="81" spans="1:8" x14ac:dyDescent="0.35">
      <c r="A81" s="5" t="s">
        <v>579</v>
      </c>
      <c r="C81" s="49">
        <v>399</v>
      </c>
      <c r="D81" s="49">
        <v>441</v>
      </c>
      <c r="E81" s="49">
        <v>584</v>
      </c>
      <c r="F81" s="49">
        <v>693</v>
      </c>
      <c r="G81" s="49">
        <v>826</v>
      </c>
      <c r="H81" s="81" t="s">
        <v>578</v>
      </c>
    </row>
    <row r="82" spans="1:8" x14ac:dyDescent="0.35">
      <c r="A82" s="5" t="s">
        <v>168</v>
      </c>
      <c r="C82" s="49">
        <v>218</v>
      </c>
      <c r="D82" s="49">
        <v>300</v>
      </c>
      <c r="E82" s="49">
        <v>619</v>
      </c>
      <c r="F82" s="49">
        <v>953</v>
      </c>
      <c r="G82" s="49">
        <v>1180</v>
      </c>
      <c r="H82" s="81" t="s">
        <v>578</v>
      </c>
    </row>
    <row r="83" spans="1:8" x14ac:dyDescent="0.35">
      <c r="A83" s="5" t="s">
        <v>580</v>
      </c>
      <c r="C83" s="49">
        <v>-207</v>
      </c>
      <c r="D83" s="49">
        <v>-112</v>
      </c>
      <c r="E83" s="49">
        <v>-348</v>
      </c>
      <c r="F83" s="49">
        <v>-95</v>
      </c>
      <c r="G83" s="49">
        <v>210</v>
      </c>
      <c r="H83" s="81" t="s">
        <v>578</v>
      </c>
    </row>
    <row r="84" spans="1:8" x14ac:dyDescent="0.35">
      <c r="A84" s="5" t="s">
        <v>581</v>
      </c>
      <c r="C84" s="49">
        <v>-5199</v>
      </c>
      <c r="D84" s="49">
        <v>-2977</v>
      </c>
      <c r="E84" s="49">
        <v>-2462</v>
      </c>
      <c r="F84" s="49">
        <v>-9072</v>
      </c>
      <c r="G84" s="49">
        <v>-11592</v>
      </c>
      <c r="H84" s="81" t="s">
        <v>578</v>
      </c>
    </row>
    <row r="85" spans="1:8" x14ac:dyDescent="0.35">
      <c r="A85" s="5" t="s">
        <v>582</v>
      </c>
      <c r="C85" s="49">
        <v>-3</v>
      </c>
      <c r="D85" s="49">
        <v>-18</v>
      </c>
      <c r="E85" s="49">
        <v>-21</v>
      </c>
      <c r="F85" s="49">
        <v>4</v>
      </c>
      <c r="G85" s="49">
        <v>-8</v>
      </c>
      <c r="H85" s="81" t="s">
        <v>578</v>
      </c>
    </row>
    <row r="86" spans="1:8" x14ac:dyDescent="0.35">
      <c r="A86" s="5" t="s">
        <v>583</v>
      </c>
      <c r="C86" s="49">
        <v>-29</v>
      </c>
      <c r="D86" s="49">
        <v>74</v>
      </c>
      <c r="E86" s="49">
        <v>-130</v>
      </c>
      <c r="F86" s="49">
        <v>75</v>
      </c>
      <c r="G86" s="49">
        <v>-244</v>
      </c>
      <c r="H86" s="81" t="s">
        <v>578</v>
      </c>
    </row>
    <row r="87" spans="1:8" x14ac:dyDescent="0.35">
      <c r="A87" s="5" t="s">
        <v>584</v>
      </c>
      <c r="C87" s="49">
        <v>-223</v>
      </c>
      <c r="D87" s="49">
        <v>-363</v>
      </c>
      <c r="E87" s="49">
        <v>-481</v>
      </c>
      <c r="F87" s="49">
        <v>-235</v>
      </c>
      <c r="G87" s="49">
        <v>-217</v>
      </c>
      <c r="H87" s="81" t="s">
        <v>578</v>
      </c>
    </row>
    <row r="88" spans="1:8" x14ac:dyDescent="0.35">
      <c r="A88" s="5" t="s">
        <v>585</v>
      </c>
      <c r="C88" s="49">
        <v>1188</v>
      </c>
      <c r="D88" s="49">
        <v>-99</v>
      </c>
      <c r="E88" s="49">
        <v>42</v>
      </c>
      <c r="F88" s="49">
        <v>2468</v>
      </c>
      <c r="G88" s="49">
        <v>7304</v>
      </c>
      <c r="H88" s="81" t="s">
        <v>578</v>
      </c>
    </row>
    <row r="89" spans="1:8" x14ac:dyDescent="0.35">
      <c r="A89" s="5" t="s">
        <v>586</v>
      </c>
      <c r="C89" s="49">
        <v>504</v>
      </c>
      <c r="D89" s="49">
        <v>-89</v>
      </c>
      <c r="E89" s="49">
        <v>196</v>
      </c>
      <c r="F89" s="49">
        <v>564</v>
      </c>
      <c r="G89" s="49">
        <v>472</v>
      </c>
      <c r="H89" s="81" t="s">
        <v>578</v>
      </c>
    </row>
    <row r="90" spans="1:8" x14ac:dyDescent="0.35">
      <c r="A90" s="5" t="s">
        <v>587</v>
      </c>
      <c r="C90" s="49">
        <v>179</v>
      </c>
      <c r="D90" s="49">
        <v>108</v>
      </c>
      <c r="E90" s="49">
        <v>91</v>
      </c>
      <c r="F90" s="49">
        <v>663</v>
      </c>
      <c r="G90" s="49">
        <v>1138</v>
      </c>
      <c r="H90" s="81" t="s">
        <v>578</v>
      </c>
    </row>
    <row r="91" spans="1:8" x14ac:dyDescent="0.35">
      <c r="A91" s="5" t="s">
        <v>588</v>
      </c>
      <c r="C91" s="49">
        <v>510</v>
      </c>
      <c r="D91" s="49">
        <v>994</v>
      </c>
      <c r="E91" s="49">
        <v>582</v>
      </c>
      <c r="F91" s="49">
        <v>350</v>
      </c>
      <c r="G91" s="49">
        <v>1773</v>
      </c>
      <c r="H91" s="81" t="s">
        <v>578</v>
      </c>
    </row>
    <row r="92" spans="1:8" x14ac:dyDescent="0.35">
      <c r="A92" s="5" t="s">
        <v>589</v>
      </c>
      <c r="C92" s="49">
        <v>59</v>
      </c>
      <c r="D92" s="49">
        <v>69</v>
      </c>
      <c r="E92" s="49">
        <v>-5</v>
      </c>
      <c r="F92" s="49">
        <v>52</v>
      </c>
      <c r="G92" s="49">
        <v>44</v>
      </c>
      <c r="H92" s="81" t="s">
        <v>578</v>
      </c>
    </row>
    <row r="93" spans="1:8" x14ac:dyDescent="0.35">
      <c r="A93" s="5" t="s">
        <v>221</v>
      </c>
      <c r="C93" s="49">
        <v>-802</v>
      </c>
      <c r="D93" s="49">
        <v>-1154</v>
      </c>
      <c r="E93" s="49">
        <v>-1173</v>
      </c>
      <c r="F93" s="49">
        <v>-1089</v>
      </c>
      <c r="G93" s="49">
        <v>-1737</v>
      </c>
      <c r="H93" s="81" t="s">
        <v>578</v>
      </c>
    </row>
    <row r="94" spans="1:8" x14ac:dyDescent="0.35">
      <c r="A94" s="5" t="s">
        <v>590</v>
      </c>
      <c r="C94" s="49">
        <v>-724</v>
      </c>
      <c r="D94" s="49">
        <v>1370</v>
      </c>
      <c r="E94" s="49">
        <v>1695</v>
      </c>
      <c r="F94" s="49">
        <v>-541</v>
      </c>
      <c r="G94" s="49">
        <v>5590</v>
      </c>
      <c r="H94" s="81" t="s">
        <v>578</v>
      </c>
    </row>
    <row r="95" spans="1:8" x14ac:dyDescent="0.35">
      <c r="A95" s="5" t="s">
        <v>591</v>
      </c>
      <c r="C95" s="49">
        <v>-224</v>
      </c>
      <c r="D95" s="49">
        <v>-432</v>
      </c>
      <c r="E95" s="49">
        <v>-691</v>
      </c>
      <c r="F95" s="49">
        <v>-494</v>
      </c>
      <c r="G95" s="49">
        <v>-902</v>
      </c>
      <c r="H95" s="81" t="s">
        <v>578</v>
      </c>
    </row>
    <row r="96" spans="1:8" x14ac:dyDescent="0.35">
      <c r="A96" s="5" t="s">
        <v>592</v>
      </c>
      <c r="C96" s="49">
        <v>1164</v>
      </c>
      <c r="D96" s="49">
        <v>-1811</v>
      </c>
      <c r="E96" s="49">
        <v>-189</v>
      </c>
      <c r="F96" s="49">
        <v>546</v>
      </c>
      <c r="G96" s="49">
        <v>-2934</v>
      </c>
      <c r="H96" s="81" t="s">
        <v>578</v>
      </c>
    </row>
    <row r="97" spans="1:8" x14ac:dyDescent="0.35">
      <c r="A97" s="5" t="s">
        <v>593</v>
      </c>
      <c r="C97" s="49">
        <v>-403</v>
      </c>
      <c r="D97" s="49">
        <v>457</v>
      </c>
      <c r="E97" s="49">
        <v>-1329</v>
      </c>
      <c r="F97" s="49">
        <v>-7</v>
      </c>
      <c r="G97" s="49">
        <v>-2159</v>
      </c>
      <c r="H97" s="81" t="s">
        <v>578</v>
      </c>
    </row>
    <row r="98" spans="1:8" x14ac:dyDescent="0.35">
      <c r="A98" s="5" t="s">
        <v>594</v>
      </c>
      <c r="C98" s="49">
        <v>37</v>
      </c>
      <c r="D98" s="49">
        <v>16</v>
      </c>
      <c r="E98" s="49">
        <v>177</v>
      </c>
      <c r="F98" s="49">
        <v>-2</v>
      </c>
      <c r="G98" s="49">
        <v>497</v>
      </c>
      <c r="H98" s="81" t="s">
        <v>578</v>
      </c>
    </row>
    <row r="99" spans="1:8" x14ac:dyDescent="0.35">
      <c r="A99" s="5" t="s">
        <v>595</v>
      </c>
      <c r="C99" s="49">
        <v>181</v>
      </c>
      <c r="D99" s="49">
        <v>219</v>
      </c>
      <c r="E99" s="49">
        <v>232</v>
      </c>
      <c r="F99" s="49">
        <v>409</v>
      </c>
      <c r="G99" s="49">
        <v>407</v>
      </c>
      <c r="H99" s="81" t="s">
        <v>578</v>
      </c>
    </row>
    <row r="100" spans="1:8" x14ac:dyDescent="0.35">
      <c r="A100" s="5" t="s">
        <v>596</v>
      </c>
      <c r="C100" s="49">
        <v>219</v>
      </c>
      <c r="D100" s="49">
        <v>232</v>
      </c>
      <c r="E100" s="49">
        <v>409</v>
      </c>
      <c r="F100" s="49">
        <v>407</v>
      </c>
      <c r="G100" s="49">
        <v>873</v>
      </c>
      <c r="H100" s="81" t="s">
        <v>578</v>
      </c>
    </row>
    <row r="101" spans="1:8" x14ac:dyDescent="0.35">
      <c r="A101" s="5" t="s">
        <v>597</v>
      </c>
      <c r="C101" s="49">
        <v>0</v>
      </c>
      <c r="D101" s="49">
        <v>0</v>
      </c>
      <c r="E101" s="49">
        <v>3301</v>
      </c>
      <c r="F101" s="49">
        <v>70</v>
      </c>
      <c r="G101" s="49">
        <v>0</v>
      </c>
      <c r="H101" s="81" t="s">
        <v>578</v>
      </c>
    </row>
    <row r="102" spans="1:8" x14ac:dyDescent="0.35">
      <c r="A102" s="5" t="s">
        <v>598</v>
      </c>
      <c r="C102" s="49">
        <v>-7</v>
      </c>
      <c r="D102" s="49">
        <v>-7</v>
      </c>
      <c r="E102" s="49">
        <v>0</v>
      </c>
      <c r="F102" s="49">
        <v>-378</v>
      </c>
      <c r="G102" s="49">
        <v>-2632</v>
      </c>
      <c r="H102" s="81" t="s">
        <v>578</v>
      </c>
    </row>
    <row r="103" spans="1:8" x14ac:dyDescent="0.35">
      <c r="A103" s="5" t="s">
        <v>599</v>
      </c>
      <c r="C103" s="49">
        <v>349</v>
      </c>
      <c r="D103" s="49">
        <v>1684</v>
      </c>
      <c r="E103" s="49">
        <v>2328</v>
      </c>
      <c r="F103" s="49">
        <v>2529</v>
      </c>
      <c r="G103" s="49">
        <v>3314</v>
      </c>
      <c r="H103" s="81" t="s">
        <v>578</v>
      </c>
    </row>
    <row r="104" spans="1:8" x14ac:dyDescent="0.35">
      <c r="A104" s="5" t="s">
        <v>227</v>
      </c>
      <c r="C104" s="49">
        <v>-355</v>
      </c>
      <c r="D104" s="49">
        <v>-666</v>
      </c>
      <c r="E104" s="49">
        <v>-888</v>
      </c>
      <c r="F104" s="49">
        <v>-976</v>
      </c>
      <c r="G104" s="49">
        <v>-976</v>
      </c>
      <c r="H104" s="81" t="s">
        <v>578</v>
      </c>
    </row>
    <row r="105" spans="1:8" x14ac:dyDescent="0.35">
      <c r="A105" s="5" t="s">
        <v>600</v>
      </c>
      <c r="C105" s="49">
        <v>-172</v>
      </c>
      <c r="D105" s="49">
        <v>-254</v>
      </c>
      <c r="E105" s="49">
        <v>-318</v>
      </c>
      <c r="F105" s="49">
        <v>-700</v>
      </c>
      <c r="G105" s="49">
        <v>-865</v>
      </c>
      <c r="H105" s="81" t="s">
        <v>578</v>
      </c>
    </row>
    <row r="106" spans="1:8" x14ac:dyDescent="0.35">
      <c r="A106" s="5" t="s">
        <v>601</v>
      </c>
      <c r="C106" s="49">
        <v>-218</v>
      </c>
      <c r="D106" s="49">
        <v>-300</v>
      </c>
      <c r="E106" s="49">
        <v>-619</v>
      </c>
      <c r="F106" s="49">
        <v>-538</v>
      </c>
      <c r="G106" s="49">
        <v>-1000</v>
      </c>
      <c r="H106" s="81" t="s">
        <v>578</v>
      </c>
    </row>
    <row r="108" spans="1:8" x14ac:dyDescent="0.35">
      <c r="A108" s="29" t="s">
        <v>602</v>
      </c>
      <c r="B108" s="30"/>
      <c r="C108" s="30"/>
      <c r="D108" s="30"/>
      <c r="E108" s="30"/>
      <c r="F108" s="30"/>
      <c r="G108" s="30"/>
      <c r="H108" s="30"/>
    </row>
    <row r="109" spans="1:8" x14ac:dyDescent="0.35">
      <c r="A109" s="5" t="s">
        <v>603</v>
      </c>
      <c r="F109" s="49">
        <v>551</v>
      </c>
      <c r="G109" s="49">
        <v>610</v>
      </c>
      <c r="H109" s="81" t="s">
        <v>604</v>
      </c>
    </row>
    <row r="110" spans="1:8" x14ac:dyDescent="0.35">
      <c r="A110" s="5" t="s">
        <v>605</v>
      </c>
      <c r="F110" s="49">
        <v>222</v>
      </c>
      <c r="G110" s="49">
        <v>247</v>
      </c>
      <c r="H110" s="81" t="s">
        <v>604</v>
      </c>
    </row>
    <row r="111" spans="1:8" x14ac:dyDescent="0.35">
      <c r="A111" s="5" t="s">
        <v>606</v>
      </c>
      <c r="F111" s="49">
        <v>174</v>
      </c>
      <c r="G111" s="49">
        <v>320</v>
      </c>
      <c r="H111" s="81" t="s">
        <v>604</v>
      </c>
    </row>
    <row r="112" spans="1:8" x14ac:dyDescent="0.35">
      <c r="A112" s="5" t="s">
        <v>607</v>
      </c>
      <c r="F112" s="49">
        <v>6</v>
      </c>
      <c r="G112" s="49">
        <v>3</v>
      </c>
      <c r="H112" s="81" t="s">
        <v>604</v>
      </c>
    </row>
    <row r="113" spans="1:8" x14ac:dyDescent="0.35">
      <c r="A113" s="5" t="s">
        <v>608</v>
      </c>
      <c r="F113" s="49">
        <v>272</v>
      </c>
      <c r="G113" s="49">
        <v>330</v>
      </c>
      <c r="H113" s="81" t="s">
        <v>609</v>
      </c>
    </row>
    <row r="114" spans="1:8" x14ac:dyDescent="0.35">
      <c r="A114" s="5" t="s">
        <v>610</v>
      </c>
      <c r="F114" s="49">
        <v>360</v>
      </c>
      <c r="G114" s="49">
        <v>427</v>
      </c>
      <c r="H114" s="81" t="s">
        <v>609</v>
      </c>
    </row>
    <row r="115" spans="1:8" x14ac:dyDescent="0.35">
      <c r="A115" s="5" t="s">
        <v>611</v>
      </c>
      <c r="F115" s="49">
        <v>61</v>
      </c>
      <c r="G115" s="49">
        <v>69</v>
      </c>
      <c r="H115" s="81" t="s">
        <v>609</v>
      </c>
    </row>
    <row r="116" spans="1:8" x14ac:dyDescent="0.35">
      <c r="A116" s="5" t="s">
        <v>612</v>
      </c>
      <c r="F116" s="96">
        <v>37.619999999999997</v>
      </c>
      <c r="G116" s="96">
        <v>57.19</v>
      </c>
      <c r="H116" s="81" t="s">
        <v>613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B14"/>
  <sheetViews>
    <sheetView workbookViewId="0">
      <selection activeCell="F16" sqref="F16"/>
    </sheetView>
  </sheetViews>
  <sheetFormatPr defaultRowHeight="14.5" x14ac:dyDescent="0.35"/>
  <cols>
    <col min="1" max="1" width="30" customWidth="1"/>
    <col min="2" max="2" width="130" customWidth="1"/>
  </cols>
  <sheetData>
    <row r="1" spans="1:2" ht="19.5" x14ac:dyDescent="0.45">
      <c r="A1" s="9" t="s">
        <v>614</v>
      </c>
    </row>
    <row r="3" spans="1:2" x14ac:dyDescent="0.35">
      <c r="A3" s="29" t="s">
        <v>615</v>
      </c>
      <c r="B3" s="30"/>
    </row>
    <row r="4" spans="1:2" ht="36" customHeight="1" x14ac:dyDescent="0.35">
      <c r="A4" s="97" t="s">
        <v>616</v>
      </c>
      <c r="B4" s="98" t="s">
        <v>617</v>
      </c>
    </row>
    <row r="5" spans="1:2" ht="36" customHeight="1" x14ac:dyDescent="0.35">
      <c r="A5" s="97" t="s">
        <v>618</v>
      </c>
      <c r="B5" s="98" t="s">
        <v>619</v>
      </c>
    </row>
    <row r="6" spans="1:2" ht="36" customHeight="1" x14ac:dyDescent="0.35">
      <c r="A6" s="97" t="s">
        <v>620</v>
      </c>
      <c r="B6" s="98" t="s">
        <v>621</v>
      </c>
    </row>
    <row r="8" spans="1:2" x14ac:dyDescent="0.35">
      <c r="A8" s="29" t="s">
        <v>622</v>
      </c>
      <c r="B8" s="30"/>
    </row>
    <row r="9" spans="1:2" ht="54" customHeight="1" x14ac:dyDescent="0.35">
      <c r="A9" s="97" t="s">
        <v>623</v>
      </c>
      <c r="B9" s="98" t="s">
        <v>624</v>
      </c>
    </row>
    <row r="10" spans="1:2" ht="36" customHeight="1" x14ac:dyDescent="0.35">
      <c r="A10" s="97" t="s">
        <v>625</v>
      </c>
      <c r="B10" s="98" t="s">
        <v>626</v>
      </c>
    </row>
    <row r="12" spans="1:2" x14ac:dyDescent="0.35">
      <c r="A12" s="29" t="s">
        <v>627</v>
      </c>
      <c r="B12" s="30"/>
    </row>
    <row r="13" spans="1:2" ht="36" customHeight="1" x14ac:dyDescent="0.35">
      <c r="A13" s="97" t="s">
        <v>628</v>
      </c>
      <c r="B13" s="98" t="s">
        <v>629</v>
      </c>
    </row>
    <row r="14" spans="1:2" ht="18" customHeight="1" x14ac:dyDescent="0.35">
      <c r="A14" s="97" t="s">
        <v>630</v>
      </c>
      <c r="B14" s="98" t="s">
        <v>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Summary</vt:lpstr>
      <vt:lpstr>Inputs</vt:lpstr>
      <vt:lpstr>IS</vt:lpstr>
      <vt:lpstr>BS</vt:lpstr>
      <vt:lpstr>CF</vt:lpstr>
      <vt:lpstr>Schedules</vt:lpstr>
      <vt:lpstr>Earnings_Quality</vt:lpstr>
      <vt:lpstr>DCF</vt:lpstr>
      <vt:lpstr>Sensitivity</vt:lpstr>
      <vt:lpstr>Scenarios</vt:lpstr>
      <vt:lpstr>Checks</vt:lpstr>
      <vt:lpstr>PowerBI_Export</vt:lpstr>
      <vt:lpstr>Hist_Data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Yashraj Verma</cp:lastModifiedBy>
  <dcterms:created xsi:type="dcterms:W3CDTF">2026-09-29T18:21:33Z</dcterms:created>
  <dcterms:modified xsi:type="dcterms:W3CDTF">2026-09-29T18:24:37Z</dcterms:modified>
</cp:coreProperties>
</file>